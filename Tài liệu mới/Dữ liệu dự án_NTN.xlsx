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5007"/>
  <workbookPr autoCompressPictures="0"/>
  <bookViews>
    <workbookView xWindow="460" yWindow="0" windowWidth="24280" windowHeight="15520" firstSheet="2" activeTab="3"/>
  </bookViews>
  <sheets>
    <sheet name="01_Du_lieu_truong_thuong" sheetId="13" r:id="rId1"/>
    <sheet name="02_Dự kiến điểm tuyển sinh" sheetId="12" r:id="rId2"/>
    <sheet name="03_Du_lieu_truong_chuyen" sheetId="3" r:id="rId3"/>
    <sheet name=")4_Dự kiến điểm thi chuyên" sheetId="14" r:id="rId4"/>
    <sheet name="05_Ikigai_mon_hoc" sheetId="6" r:id="rId5"/>
    <sheet name="06_nganh_nghe" sheetId="7" r:id="rId6"/>
  </sheets>
  <definedNames>
    <definedName name="_xlnm._FilterDatabase" localSheetId="0" hidden="1">'01_Du_lieu_truong_thuong'!$E$1:$E$173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2" l="1"/>
  <c r="H6" i="12"/>
  <c r="O9" i="14"/>
  <c r="O8" i="14"/>
  <c r="G6" i="14"/>
  <c r="G7" i="14"/>
  <c r="N2" i="14"/>
  <c r="M2" i="14"/>
  <c r="G2" i="12"/>
  <c r="B5" i="14"/>
  <c r="B6" i="14"/>
  <c r="C5" i="14"/>
  <c r="C6" i="14"/>
  <c r="D5" i="14"/>
  <c r="D6" i="14"/>
  <c r="B7" i="14"/>
  <c r="C7" i="14"/>
  <c r="D7" i="14"/>
  <c r="G2" i="14"/>
  <c r="E2" i="14"/>
  <c r="H2" i="14"/>
  <c r="J2" i="14"/>
  <c r="L2" i="14"/>
  <c r="J9" i="14"/>
  <c r="J8" i="14"/>
  <c r="K2" i="14"/>
  <c r="I2" i="14"/>
  <c r="AC2" i="13"/>
  <c r="AB114" i="13"/>
  <c r="AB115" i="13"/>
  <c r="AB116" i="13"/>
  <c r="AB117" i="13"/>
  <c r="AB118" i="13"/>
  <c r="AB119" i="13"/>
  <c r="AB120" i="13"/>
  <c r="AB121" i="13"/>
  <c r="AB122" i="13"/>
  <c r="AB123" i="13"/>
  <c r="AB124" i="13"/>
  <c r="AB125" i="13"/>
  <c r="AB126" i="13"/>
  <c r="AB127" i="13"/>
  <c r="AB128" i="13"/>
  <c r="AB129" i="13"/>
  <c r="AB130" i="13"/>
  <c r="AB131" i="13"/>
  <c r="AB132" i="13"/>
  <c r="AB133" i="13"/>
  <c r="AB134" i="13"/>
  <c r="AB135" i="13"/>
  <c r="AB136" i="13"/>
  <c r="AB137" i="13"/>
  <c r="AB138" i="13"/>
  <c r="AB139" i="13"/>
  <c r="AB140" i="13"/>
  <c r="AB141" i="13"/>
  <c r="AB142" i="13"/>
  <c r="AB143" i="13"/>
  <c r="AB144" i="13"/>
  <c r="AB145" i="13"/>
  <c r="AB146" i="13"/>
  <c r="AB147" i="13"/>
  <c r="AB148" i="13"/>
  <c r="AB149" i="13"/>
  <c r="AB150" i="13"/>
  <c r="AB151" i="13"/>
  <c r="AB152" i="13"/>
  <c r="AB153" i="13"/>
  <c r="AB154" i="13"/>
  <c r="AB155" i="13"/>
  <c r="AB156" i="13"/>
  <c r="AB157" i="13"/>
  <c r="AB158" i="13"/>
  <c r="AB159" i="13"/>
  <c r="AB160" i="13"/>
  <c r="AB161" i="13"/>
  <c r="AB162" i="13"/>
  <c r="AB163" i="13"/>
  <c r="AB164" i="13"/>
  <c r="AB165" i="13"/>
  <c r="AB166" i="13"/>
  <c r="AB167" i="13"/>
  <c r="AB168" i="13"/>
  <c r="AB169" i="13"/>
  <c r="AB170" i="13"/>
  <c r="AB171" i="13"/>
  <c r="AB3" i="13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B89" i="13"/>
  <c r="AB90" i="13"/>
  <c r="AB91" i="13"/>
  <c r="AB92" i="13"/>
  <c r="AB93" i="13"/>
  <c r="AB94" i="13"/>
  <c r="AB95" i="13"/>
  <c r="AB96" i="13"/>
  <c r="AB97" i="13"/>
  <c r="AB98" i="13"/>
  <c r="AB99" i="13"/>
  <c r="AB100" i="13"/>
  <c r="AB101" i="13"/>
  <c r="AB102" i="13"/>
  <c r="AB103" i="13"/>
  <c r="AB104" i="13"/>
  <c r="AB105" i="13"/>
  <c r="AB106" i="13"/>
  <c r="AB107" i="13"/>
  <c r="AB108" i="13"/>
  <c r="AB109" i="13"/>
  <c r="AB110" i="13"/>
  <c r="AB111" i="13"/>
  <c r="AB112" i="13"/>
  <c r="AB113" i="13"/>
  <c r="AB2" i="13"/>
  <c r="Y3" i="13"/>
  <c r="AD2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2" i="13"/>
  <c r="T2" i="13"/>
  <c r="W2" i="13"/>
  <c r="X2" i="13"/>
  <c r="Q142" i="13"/>
  <c r="S165" i="13"/>
  <c r="W3" i="13"/>
  <c r="X3" i="13"/>
  <c r="W4" i="13"/>
  <c r="X4" i="13"/>
  <c r="W5" i="13"/>
  <c r="X5" i="13"/>
  <c r="W6" i="13"/>
  <c r="X6" i="13"/>
  <c r="W7" i="13"/>
  <c r="X7" i="13"/>
  <c r="W8" i="13"/>
  <c r="X8" i="13"/>
  <c r="W9" i="13"/>
  <c r="X9" i="13"/>
  <c r="W10" i="13"/>
  <c r="X10" i="13"/>
  <c r="W11" i="13"/>
  <c r="X11" i="13"/>
  <c r="W12" i="13"/>
  <c r="X12" i="13"/>
  <c r="W13" i="13"/>
  <c r="X13" i="13"/>
  <c r="W14" i="13"/>
  <c r="X14" i="13"/>
  <c r="W15" i="13"/>
  <c r="X15" i="13"/>
  <c r="W16" i="13"/>
  <c r="X16" i="13"/>
  <c r="W17" i="13"/>
  <c r="X17" i="13"/>
  <c r="W18" i="13"/>
  <c r="X18" i="13"/>
  <c r="W19" i="13"/>
  <c r="X19" i="13"/>
  <c r="W20" i="13"/>
  <c r="X20" i="13"/>
  <c r="W21" i="13"/>
  <c r="X21" i="13"/>
  <c r="W22" i="13"/>
  <c r="X22" i="13"/>
  <c r="W23" i="13"/>
  <c r="X23" i="13"/>
  <c r="W24" i="13"/>
  <c r="X24" i="13"/>
  <c r="W25" i="13"/>
  <c r="X25" i="13"/>
  <c r="W26" i="13"/>
  <c r="X26" i="13"/>
  <c r="W27" i="13"/>
  <c r="X27" i="13"/>
  <c r="W28" i="13"/>
  <c r="X28" i="13"/>
  <c r="W29" i="13"/>
  <c r="X29" i="13"/>
  <c r="W30" i="13"/>
  <c r="X30" i="13"/>
  <c r="W31" i="13"/>
  <c r="X31" i="13"/>
  <c r="W32" i="13"/>
  <c r="X32" i="13"/>
  <c r="W33" i="13"/>
  <c r="X33" i="13"/>
  <c r="W34" i="13"/>
  <c r="X34" i="13"/>
  <c r="W35" i="13"/>
  <c r="X35" i="13"/>
  <c r="W36" i="13"/>
  <c r="X36" i="13"/>
  <c r="W37" i="13"/>
  <c r="X37" i="13"/>
  <c r="W38" i="13"/>
  <c r="X38" i="13"/>
  <c r="W39" i="13"/>
  <c r="X39" i="13"/>
  <c r="W40" i="13"/>
  <c r="X40" i="13"/>
  <c r="W41" i="13"/>
  <c r="X41" i="13"/>
  <c r="W42" i="13"/>
  <c r="X42" i="13"/>
  <c r="W43" i="13"/>
  <c r="X43" i="13"/>
  <c r="W44" i="13"/>
  <c r="X44" i="13"/>
  <c r="W45" i="13"/>
  <c r="X45" i="13"/>
  <c r="W46" i="13"/>
  <c r="X46" i="13"/>
  <c r="W47" i="13"/>
  <c r="X47" i="13"/>
  <c r="W48" i="13"/>
  <c r="X48" i="13"/>
  <c r="W49" i="13"/>
  <c r="X49" i="13"/>
  <c r="W50" i="13"/>
  <c r="X50" i="13"/>
  <c r="W51" i="13"/>
  <c r="X51" i="13"/>
  <c r="W52" i="13"/>
  <c r="X52" i="13"/>
  <c r="W53" i="13"/>
  <c r="X53" i="13"/>
  <c r="W54" i="13"/>
  <c r="X54" i="13"/>
  <c r="W55" i="13"/>
  <c r="X55" i="13"/>
  <c r="W56" i="13"/>
  <c r="X56" i="13"/>
  <c r="W57" i="13"/>
  <c r="X57" i="13"/>
  <c r="W58" i="13"/>
  <c r="X58" i="13"/>
  <c r="W59" i="13"/>
  <c r="X59" i="13"/>
  <c r="W60" i="13"/>
  <c r="X60" i="13"/>
  <c r="W61" i="13"/>
  <c r="X61" i="13"/>
  <c r="W62" i="13"/>
  <c r="X62" i="13"/>
  <c r="W63" i="13"/>
  <c r="X63" i="13"/>
  <c r="W64" i="13"/>
  <c r="X64" i="13"/>
  <c r="W65" i="13"/>
  <c r="X65" i="13"/>
  <c r="W66" i="13"/>
  <c r="X66" i="13"/>
  <c r="W67" i="13"/>
  <c r="X67" i="13"/>
  <c r="W68" i="13"/>
  <c r="X68" i="13"/>
  <c r="W69" i="13"/>
  <c r="X69" i="13"/>
  <c r="W70" i="13"/>
  <c r="X70" i="13"/>
  <c r="W71" i="13"/>
  <c r="X71" i="13"/>
  <c r="W72" i="13"/>
  <c r="X72" i="13"/>
  <c r="W73" i="13"/>
  <c r="X73" i="13"/>
  <c r="W74" i="13"/>
  <c r="X74" i="13"/>
  <c r="W75" i="13"/>
  <c r="X75" i="13"/>
  <c r="W76" i="13"/>
  <c r="X76" i="13"/>
  <c r="W77" i="13"/>
  <c r="X77" i="13"/>
  <c r="W78" i="13"/>
  <c r="X78" i="13"/>
  <c r="W79" i="13"/>
  <c r="X79" i="13"/>
  <c r="W80" i="13"/>
  <c r="X80" i="13"/>
  <c r="W81" i="13"/>
  <c r="X81" i="13"/>
  <c r="W82" i="13"/>
  <c r="X82" i="13"/>
  <c r="W83" i="13"/>
  <c r="X83" i="13"/>
  <c r="W84" i="13"/>
  <c r="X84" i="13"/>
  <c r="W85" i="13"/>
  <c r="X85" i="13"/>
  <c r="W86" i="13"/>
  <c r="X86" i="13"/>
  <c r="W87" i="13"/>
  <c r="X87" i="13"/>
  <c r="W88" i="13"/>
  <c r="X88" i="13"/>
  <c r="W89" i="13"/>
  <c r="X89" i="13"/>
  <c r="W90" i="13"/>
  <c r="X90" i="13"/>
  <c r="W91" i="13"/>
  <c r="X91" i="13"/>
  <c r="W92" i="13"/>
  <c r="X92" i="13"/>
  <c r="W93" i="13"/>
  <c r="X93" i="13"/>
  <c r="W94" i="13"/>
  <c r="X94" i="13"/>
  <c r="W95" i="13"/>
  <c r="X95" i="13"/>
  <c r="W96" i="13"/>
  <c r="X96" i="13"/>
  <c r="W97" i="13"/>
  <c r="X97" i="13"/>
  <c r="W98" i="13"/>
  <c r="X98" i="13"/>
  <c r="W99" i="13"/>
  <c r="X99" i="13"/>
  <c r="W100" i="13"/>
  <c r="X100" i="13"/>
  <c r="W101" i="13"/>
  <c r="X101" i="13"/>
  <c r="W102" i="13"/>
  <c r="X102" i="13"/>
  <c r="W103" i="13"/>
  <c r="X103" i="13"/>
  <c r="W104" i="13"/>
  <c r="X104" i="13"/>
  <c r="W105" i="13"/>
  <c r="X105" i="13"/>
  <c r="W106" i="13"/>
  <c r="X106" i="13"/>
  <c r="W107" i="13"/>
  <c r="X107" i="13"/>
  <c r="W108" i="13"/>
  <c r="X108" i="13"/>
  <c r="W109" i="13"/>
  <c r="X109" i="13"/>
  <c r="W110" i="13"/>
  <c r="X110" i="13"/>
  <c r="W111" i="13"/>
  <c r="X111" i="13"/>
  <c r="W112" i="13"/>
  <c r="X112" i="13"/>
  <c r="W113" i="13"/>
  <c r="X113" i="13"/>
  <c r="W114" i="13"/>
  <c r="X114" i="13"/>
  <c r="W115" i="13"/>
  <c r="X115" i="13"/>
  <c r="W116" i="13"/>
  <c r="X116" i="13"/>
  <c r="W117" i="13"/>
  <c r="X117" i="13"/>
  <c r="W118" i="13"/>
  <c r="X118" i="13"/>
  <c r="W119" i="13"/>
  <c r="X119" i="13"/>
  <c r="W120" i="13"/>
  <c r="X120" i="13"/>
  <c r="W121" i="13"/>
  <c r="X121" i="13"/>
  <c r="W122" i="13"/>
  <c r="X122" i="13"/>
  <c r="W123" i="13"/>
  <c r="X123" i="13"/>
  <c r="W124" i="13"/>
  <c r="X124" i="13"/>
  <c r="W125" i="13"/>
  <c r="X125" i="13"/>
  <c r="W126" i="13"/>
  <c r="X126" i="13"/>
  <c r="W127" i="13"/>
  <c r="X127" i="13"/>
  <c r="W128" i="13"/>
  <c r="X128" i="13"/>
  <c r="W129" i="13"/>
  <c r="X129" i="13"/>
  <c r="W130" i="13"/>
  <c r="X130" i="13"/>
  <c r="W131" i="13"/>
  <c r="X131" i="13"/>
  <c r="W132" i="13"/>
  <c r="X132" i="13"/>
  <c r="W133" i="13"/>
  <c r="X133" i="13"/>
  <c r="W134" i="13"/>
  <c r="X134" i="13"/>
  <c r="W135" i="13"/>
  <c r="X135" i="13"/>
  <c r="W136" i="13"/>
  <c r="X136" i="13"/>
  <c r="W137" i="13"/>
  <c r="X137" i="13"/>
  <c r="W138" i="13"/>
  <c r="X138" i="13"/>
  <c r="W139" i="13"/>
  <c r="X139" i="13"/>
  <c r="W140" i="13"/>
  <c r="X140" i="13"/>
  <c r="W141" i="13"/>
  <c r="X141" i="13"/>
  <c r="W142" i="13"/>
  <c r="X142" i="13"/>
  <c r="W143" i="13"/>
  <c r="X143" i="13"/>
  <c r="W144" i="13"/>
  <c r="X144" i="13"/>
  <c r="W145" i="13"/>
  <c r="X145" i="13"/>
  <c r="W146" i="13"/>
  <c r="X146" i="13"/>
  <c r="W147" i="13"/>
  <c r="X147" i="13"/>
  <c r="W148" i="13"/>
  <c r="X148" i="13"/>
  <c r="W149" i="13"/>
  <c r="X149" i="13"/>
  <c r="W150" i="13"/>
  <c r="X150" i="13"/>
  <c r="W151" i="13"/>
  <c r="X151" i="13"/>
  <c r="W152" i="13"/>
  <c r="X152" i="13"/>
  <c r="W153" i="13"/>
  <c r="X153" i="13"/>
  <c r="W154" i="13"/>
  <c r="X154" i="13"/>
  <c r="W155" i="13"/>
  <c r="X155" i="13"/>
  <c r="W156" i="13"/>
  <c r="X156" i="13"/>
  <c r="W157" i="13"/>
  <c r="X157" i="13"/>
  <c r="W158" i="13"/>
  <c r="X158" i="13"/>
  <c r="W159" i="13"/>
  <c r="X159" i="13"/>
  <c r="W160" i="13"/>
  <c r="X160" i="13"/>
  <c r="W161" i="13"/>
  <c r="X161" i="13"/>
  <c r="W162" i="13"/>
  <c r="X162" i="13"/>
  <c r="W163" i="13"/>
  <c r="X163" i="13"/>
  <c r="W164" i="13"/>
  <c r="X164" i="13"/>
  <c r="W165" i="13"/>
  <c r="X165" i="13"/>
  <c r="W166" i="13"/>
  <c r="X166" i="13"/>
  <c r="W167" i="13"/>
  <c r="X167" i="13"/>
  <c r="W168" i="13"/>
  <c r="X168" i="13"/>
  <c r="W169" i="13"/>
  <c r="X169" i="13"/>
  <c r="W170" i="13"/>
  <c r="X170" i="13"/>
  <c r="W171" i="13"/>
  <c r="X171" i="13"/>
  <c r="Y2" i="13"/>
  <c r="Z2" i="13"/>
  <c r="AA2" i="13"/>
  <c r="Z3" i="13"/>
  <c r="AA3" i="13"/>
  <c r="AC3" i="13"/>
  <c r="T3" i="13"/>
  <c r="AD3" i="13"/>
  <c r="AF3" i="13"/>
  <c r="AF2" i="13"/>
  <c r="C5" i="12"/>
  <c r="C6" i="12"/>
  <c r="B5" i="12"/>
  <c r="B6" i="12"/>
  <c r="D5" i="12"/>
  <c r="D6" i="12"/>
  <c r="E6" i="12"/>
  <c r="C7" i="12"/>
  <c r="B7" i="12"/>
  <c r="D7" i="12"/>
  <c r="E7" i="12"/>
  <c r="F2" i="12"/>
  <c r="V41" i="3"/>
  <c r="V42" i="3"/>
  <c r="V43" i="3"/>
  <c r="V44" i="3"/>
  <c r="V45" i="3"/>
  <c r="V46" i="3"/>
  <c r="V47" i="3"/>
  <c r="V48" i="3"/>
  <c r="V40" i="3"/>
  <c r="V30" i="3"/>
  <c r="V31" i="3"/>
  <c r="V32" i="3"/>
  <c r="V33" i="3"/>
  <c r="V34" i="3"/>
  <c r="V35" i="3"/>
  <c r="V36" i="3"/>
  <c r="V37" i="3"/>
  <c r="V38" i="3"/>
  <c r="V29" i="3"/>
  <c r="V19" i="3"/>
  <c r="V20" i="3"/>
  <c r="V21" i="3"/>
  <c r="V22" i="3"/>
  <c r="V23" i="3"/>
  <c r="V24" i="3"/>
  <c r="V25" i="3"/>
  <c r="V26" i="3"/>
  <c r="V27" i="3"/>
  <c r="V18" i="3"/>
  <c r="V5" i="3"/>
  <c r="V6" i="3"/>
  <c r="V7" i="3"/>
  <c r="V8" i="3"/>
  <c r="V9" i="3"/>
  <c r="V10" i="3"/>
  <c r="V11" i="3"/>
  <c r="V12" i="3"/>
  <c r="V13" i="3"/>
  <c r="V14" i="3"/>
  <c r="V15" i="3"/>
  <c r="V16" i="3"/>
  <c r="U41" i="3"/>
  <c r="U42" i="3"/>
  <c r="U43" i="3"/>
  <c r="U44" i="3"/>
  <c r="U45" i="3"/>
  <c r="U46" i="3"/>
  <c r="U47" i="3"/>
  <c r="U48" i="3"/>
  <c r="U40" i="3"/>
  <c r="U30" i="3"/>
  <c r="U31" i="3"/>
  <c r="U32" i="3"/>
  <c r="U33" i="3"/>
  <c r="U34" i="3"/>
  <c r="U35" i="3"/>
  <c r="U36" i="3"/>
  <c r="U37" i="3"/>
  <c r="U38" i="3"/>
  <c r="U29" i="3"/>
  <c r="U19" i="3"/>
  <c r="U20" i="3"/>
  <c r="U21" i="3"/>
  <c r="U22" i="3"/>
  <c r="U23" i="3"/>
  <c r="U24" i="3"/>
  <c r="U25" i="3"/>
  <c r="U26" i="3"/>
  <c r="U27" i="3"/>
  <c r="U18" i="3"/>
  <c r="U5" i="3"/>
  <c r="U6" i="3"/>
  <c r="U7" i="3"/>
  <c r="U8" i="3"/>
  <c r="U9" i="3"/>
  <c r="U10" i="3"/>
  <c r="U11" i="3"/>
  <c r="U12" i="3"/>
  <c r="U13" i="3"/>
  <c r="U14" i="3"/>
  <c r="U15" i="3"/>
  <c r="U16" i="3"/>
  <c r="T48" i="3"/>
  <c r="T47" i="3"/>
  <c r="T46" i="3"/>
  <c r="T45" i="3"/>
  <c r="T44" i="3"/>
  <c r="T43" i="3"/>
  <c r="T42" i="3"/>
  <c r="R39" i="3"/>
  <c r="T41" i="3"/>
  <c r="T40" i="3"/>
  <c r="T38" i="3"/>
  <c r="T37" i="3"/>
  <c r="T36" i="3"/>
  <c r="T35" i="3"/>
  <c r="O34" i="3"/>
  <c r="O32" i="3"/>
  <c r="T34" i="3"/>
  <c r="T33" i="3"/>
  <c r="T32" i="3"/>
  <c r="T31" i="3"/>
  <c r="T30" i="3"/>
  <c r="T29" i="3"/>
  <c r="T27" i="3"/>
  <c r="T26" i="3"/>
  <c r="T25" i="3"/>
  <c r="T24" i="3"/>
  <c r="T23" i="3"/>
  <c r="T22" i="3"/>
  <c r="T21" i="3"/>
  <c r="T20" i="3"/>
  <c r="T19" i="3"/>
  <c r="T18" i="3"/>
  <c r="T16" i="3"/>
  <c r="T15" i="3"/>
  <c r="T14" i="3"/>
  <c r="T13" i="3"/>
  <c r="T12" i="3"/>
  <c r="T11" i="3"/>
  <c r="T10" i="3"/>
  <c r="T9" i="3"/>
  <c r="T8" i="3"/>
  <c r="T7" i="3"/>
  <c r="V4" i="3"/>
  <c r="U4" i="3"/>
  <c r="T6" i="3"/>
  <c r="T5" i="3"/>
  <c r="T4" i="3"/>
  <c r="S39" i="3"/>
  <c r="Q39" i="3"/>
  <c r="S28" i="3"/>
  <c r="Q28" i="3"/>
  <c r="S17" i="3"/>
  <c r="R17" i="3"/>
  <c r="Q17" i="3"/>
  <c r="S3" i="3"/>
  <c r="R3" i="3"/>
  <c r="Q3" i="3"/>
  <c r="P39" i="3"/>
  <c r="P28" i="3"/>
  <c r="P17" i="3"/>
  <c r="P3" i="3"/>
  <c r="O45" i="3"/>
  <c r="O41" i="3"/>
  <c r="O33" i="3"/>
  <c r="O42" i="3"/>
  <c r="O43" i="3"/>
  <c r="O44" i="3"/>
  <c r="O46" i="3"/>
  <c r="O47" i="3"/>
  <c r="O48" i="3"/>
  <c r="O40" i="3"/>
  <c r="O30" i="3"/>
  <c r="O31" i="3"/>
  <c r="O35" i="3"/>
  <c r="O36" i="3"/>
  <c r="O37" i="3"/>
  <c r="O38" i="3"/>
  <c r="O29" i="3"/>
  <c r="O19" i="3"/>
  <c r="O20" i="3"/>
  <c r="O21" i="3"/>
  <c r="O22" i="3"/>
  <c r="O23" i="3"/>
  <c r="O24" i="3"/>
  <c r="O25" i="3"/>
  <c r="O26" i="3"/>
  <c r="O27" i="3"/>
  <c r="O18" i="3"/>
  <c r="O5" i="3"/>
  <c r="O6" i="3"/>
  <c r="O7" i="3"/>
  <c r="O8" i="3"/>
  <c r="O9" i="3"/>
  <c r="O10" i="3"/>
  <c r="O11" i="3"/>
  <c r="O12" i="3"/>
  <c r="O13" i="3"/>
  <c r="O14" i="3"/>
  <c r="O15" i="3"/>
  <c r="O16" i="3"/>
  <c r="O4" i="3"/>
  <c r="Z4" i="13"/>
  <c r="Y4" i="13"/>
  <c r="AA4" i="13"/>
  <c r="AC4" i="13"/>
  <c r="T4" i="13"/>
  <c r="AD4" i="13"/>
  <c r="AF4" i="13"/>
  <c r="Z5" i="13"/>
  <c r="Y5" i="13"/>
  <c r="AA5" i="13"/>
  <c r="AC5" i="13"/>
  <c r="T5" i="13"/>
  <c r="AD5" i="13"/>
  <c r="AF5" i="13"/>
  <c r="Z6" i="13"/>
  <c r="Y6" i="13"/>
  <c r="AA6" i="13"/>
  <c r="AC6" i="13"/>
  <c r="T6" i="13"/>
  <c r="AD6" i="13"/>
  <c r="AF6" i="13"/>
  <c r="Z7" i="13"/>
  <c r="Y7" i="13"/>
  <c r="AA7" i="13"/>
  <c r="AC7" i="13"/>
  <c r="T7" i="13"/>
  <c r="AD7" i="13"/>
  <c r="AF7" i="13"/>
  <c r="Z8" i="13"/>
  <c r="Y8" i="13"/>
  <c r="AA8" i="13"/>
  <c r="AC8" i="13"/>
  <c r="T8" i="13"/>
  <c r="AD8" i="13"/>
  <c r="AF8" i="13"/>
  <c r="Z9" i="13"/>
  <c r="Y9" i="13"/>
  <c r="AA9" i="13"/>
  <c r="AC9" i="13"/>
  <c r="T9" i="13"/>
  <c r="AD9" i="13"/>
  <c r="AF9" i="13"/>
  <c r="T10" i="13"/>
  <c r="Z10" i="13"/>
  <c r="AA10" i="13"/>
  <c r="AC10" i="13"/>
  <c r="AD10" i="13"/>
  <c r="AF10" i="13"/>
  <c r="Z11" i="13"/>
  <c r="Y11" i="13"/>
  <c r="AA11" i="13"/>
  <c r="AC11" i="13"/>
  <c r="T11" i="13"/>
  <c r="AD11" i="13"/>
  <c r="AF11" i="13"/>
  <c r="Z12" i="13"/>
  <c r="Y12" i="13"/>
  <c r="AA12" i="13"/>
  <c r="AC12" i="13"/>
  <c r="T12" i="13"/>
  <c r="AD12" i="13"/>
  <c r="AF12" i="13"/>
  <c r="Z13" i="13"/>
  <c r="Y13" i="13"/>
  <c r="AA13" i="13"/>
  <c r="AC13" i="13"/>
  <c r="T13" i="13"/>
  <c r="AD13" i="13"/>
  <c r="AF13" i="13"/>
  <c r="Z14" i="13"/>
  <c r="Y14" i="13"/>
  <c r="AA14" i="13"/>
  <c r="AC14" i="13"/>
  <c r="T14" i="13"/>
  <c r="AD14" i="13"/>
  <c r="AF14" i="13"/>
  <c r="Z15" i="13"/>
  <c r="Y15" i="13"/>
  <c r="AA15" i="13"/>
  <c r="AC15" i="13"/>
  <c r="T15" i="13"/>
  <c r="AD15" i="13"/>
  <c r="AF15" i="13"/>
  <c r="Z16" i="13"/>
  <c r="Y16" i="13"/>
  <c r="AA16" i="13"/>
  <c r="AC16" i="13"/>
  <c r="T16" i="13"/>
  <c r="AD16" i="13"/>
  <c r="AF16" i="13"/>
  <c r="Z17" i="13"/>
  <c r="Y17" i="13"/>
  <c r="AA17" i="13"/>
  <c r="AC17" i="13"/>
  <c r="T17" i="13"/>
  <c r="AD17" i="13"/>
  <c r="AF17" i="13"/>
  <c r="Z18" i="13"/>
  <c r="Y18" i="13"/>
  <c r="AA18" i="13"/>
  <c r="AC18" i="13"/>
  <c r="T18" i="13"/>
  <c r="AD18" i="13"/>
  <c r="AF18" i="13"/>
  <c r="Z19" i="13"/>
  <c r="Y19" i="13"/>
  <c r="AA19" i="13"/>
  <c r="AC19" i="13"/>
  <c r="T19" i="13"/>
  <c r="AD19" i="13"/>
  <c r="AF19" i="13"/>
  <c r="Z20" i="13"/>
  <c r="Y20" i="13"/>
  <c r="AA20" i="13"/>
  <c r="AC20" i="13"/>
  <c r="T20" i="13"/>
  <c r="AD20" i="13"/>
  <c r="AF20" i="13"/>
  <c r="Z21" i="13"/>
  <c r="Y21" i="13"/>
  <c r="AA21" i="13"/>
  <c r="AC21" i="13"/>
  <c r="T21" i="13"/>
  <c r="AD21" i="13"/>
  <c r="AF21" i="13"/>
  <c r="Z22" i="13"/>
  <c r="Y22" i="13"/>
  <c r="AA22" i="13"/>
  <c r="AC22" i="13"/>
  <c r="T22" i="13"/>
  <c r="AD22" i="13"/>
  <c r="AF22" i="13"/>
  <c r="Z23" i="13"/>
  <c r="Y23" i="13"/>
  <c r="AA23" i="13"/>
  <c r="AC23" i="13"/>
  <c r="T23" i="13"/>
  <c r="AD23" i="13"/>
  <c r="AF23" i="13"/>
  <c r="Z24" i="13"/>
  <c r="Y24" i="13"/>
  <c r="AA24" i="13"/>
  <c r="AC24" i="13"/>
  <c r="T24" i="13"/>
  <c r="AD24" i="13"/>
  <c r="AF24" i="13"/>
  <c r="Z25" i="13"/>
  <c r="Y25" i="13"/>
  <c r="AA25" i="13"/>
  <c r="AC25" i="13"/>
  <c r="T25" i="13"/>
  <c r="AD25" i="13"/>
  <c r="AF25" i="13"/>
  <c r="Z26" i="13"/>
  <c r="Y26" i="13"/>
  <c r="AA26" i="13"/>
  <c r="AC26" i="13"/>
  <c r="T26" i="13"/>
  <c r="AD26" i="13"/>
  <c r="AF26" i="13"/>
  <c r="Z27" i="13"/>
  <c r="Y27" i="13"/>
  <c r="AA27" i="13"/>
  <c r="AC27" i="13"/>
  <c r="T27" i="13"/>
  <c r="AD27" i="13"/>
  <c r="AF27" i="13"/>
  <c r="Z28" i="13"/>
  <c r="Y28" i="13"/>
  <c r="AA28" i="13"/>
  <c r="AC28" i="13"/>
  <c r="T28" i="13"/>
  <c r="AD28" i="13"/>
  <c r="AF28" i="13"/>
  <c r="T29" i="13"/>
  <c r="Z29" i="13"/>
  <c r="AA29" i="13"/>
  <c r="AC29" i="13"/>
  <c r="AD29" i="13"/>
  <c r="AF29" i="13"/>
  <c r="Z30" i="13"/>
  <c r="Y30" i="13"/>
  <c r="AA30" i="13"/>
  <c r="AC30" i="13"/>
  <c r="T30" i="13"/>
  <c r="AD30" i="13"/>
  <c r="AF30" i="13"/>
  <c r="Z31" i="13"/>
  <c r="Y31" i="13"/>
  <c r="AA31" i="13"/>
  <c r="AC31" i="13"/>
  <c r="T31" i="13"/>
  <c r="AD31" i="13"/>
  <c r="AF31" i="13"/>
  <c r="Z32" i="13"/>
  <c r="Y32" i="13"/>
  <c r="AA32" i="13"/>
  <c r="AC32" i="13"/>
  <c r="T32" i="13"/>
  <c r="AD32" i="13"/>
  <c r="AF32" i="13"/>
  <c r="Z33" i="13"/>
  <c r="Y33" i="13"/>
  <c r="AA33" i="13"/>
  <c r="AC33" i="13"/>
  <c r="T33" i="13"/>
  <c r="AD33" i="13"/>
  <c r="AF33" i="13"/>
  <c r="Z34" i="13"/>
  <c r="Y34" i="13"/>
  <c r="AA34" i="13"/>
  <c r="AC34" i="13"/>
  <c r="T34" i="13"/>
  <c r="AD34" i="13"/>
  <c r="AF34" i="13"/>
  <c r="Z35" i="13"/>
  <c r="Y35" i="13"/>
  <c r="AA35" i="13"/>
  <c r="AC35" i="13"/>
  <c r="T35" i="13"/>
  <c r="AD35" i="13"/>
  <c r="AF35" i="13"/>
  <c r="Z36" i="13"/>
  <c r="Y36" i="13"/>
  <c r="AA36" i="13"/>
  <c r="AC36" i="13"/>
  <c r="T36" i="13"/>
  <c r="AD36" i="13"/>
  <c r="AF36" i="13"/>
  <c r="Z37" i="13"/>
  <c r="Y37" i="13"/>
  <c r="AA37" i="13"/>
  <c r="AC37" i="13"/>
  <c r="T37" i="13"/>
  <c r="AD37" i="13"/>
  <c r="AF37" i="13"/>
  <c r="Z38" i="13"/>
  <c r="Y38" i="13"/>
  <c r="AA38" i="13"/>
  <c r="AC38" i="13"/>
  <c r="T38" i="13"/>
  <c r="AD38" i="13"/>
  <c r="AF38" i="13"/>
  <c r="Z39" i="13"/>
  <c r="Y39" i="13"/>
  <c r="AA39" i="13"/>
  <c r="AC39" i="13"/>
  <c r="T39" i="13"/>
  <c r="AD39" i="13"/>
  <c r="AF39" i="13"/>
  <c r="Z40" i="13"/>
  <c r="Y40" i="13"/>
  <c r="AA40" i="13"/>
  <c r="AC40" i="13"/>
  <c r="T40" i="13"/>
  <c r="AD40" i="13"/>
  <c r="AF40" i="13"/>
  <c r="Z41" i="13"/>
  <c r="Y41" i="13"/>
  <c r="AA41" i="13"/>
  <c r="AC41" i="13"/>
  <c r="T41" i="13"/>
  <c r="AD41" i="13"/>
  <c r="AF41" i="13"/>
  <c r="Z42" i="13"/>
  <c r="Y42" i="13"/>
  <c r="AA42" i="13"/>
  <c r="AC42" i="13"/>
  <c r="T42" i="13"/>
  <c r="AD42" i="13"/>
  <c r="AF42" i="13"/>
  <c r="Z43" i="13"/>
  <c r="Y43" i="13"/>
  <c r="AA43" i="13"/>
  <c r="AC43" i="13"/>
  <c r="T43" i="13"/>
  <c r="AD43" i="13"/>
  <c r="AF43" i="13"/>
  <c r="Z44" i="13"/>
  <c r="Y44" i="13"/>
  <c r="AA44" i="13"/>
  <c r="AC44" i="13"/>
  <c r="T44" i="13"/>
  <c r="AD44" i="13"/>
  <c r="AF44" i="13"/>
  <c r="Z45" i="13"/>
  <c r="Y45" i="13"/>
  <c r="AA45" i="13"/>
  <c r="AC45" i="13"/>
  <c r="T45" i="13"/>
  <c r="AD45" i="13"/>
  <c r="AF45" i="13"/>
  <c r="T46" i="13"/>
  <c r="Z46" i="13"/>
  <c r="AA46" i="13"/>
  <c r="AC46" i="13"/>
  <c r="AD46" i="13"/>
  <c r="AF46" i="13"/>
  <c r="Z47" i="13"/>
  <c r="Y47" i="13"/>
  <c r="AA47" i="13"/>
  <c r="AC47" i="13"/>
  <c r="T47" i="13"/>
  <c r="AD47" i="13"/>
  <c r="AF47" i="13"/>
  <c r="Z48" i="13"/>
  <c r="Y48" i="13"/>
  <c r="AA48" i="13"/>
  <c r="AC48" i="13"/>
  <c r="T48" i="13"/>
  <c r="AD48" i="13"/>
  <c r="AF48" i="13"/>
  <c r="T49" i="13"/>
  <c r="Z49" i="13"/>
  <c r="AA49" i="13"/>
  <c r="AC49" i="13"/>
  <c r="AD49" i="13"/>
  <c r="AF49" i="13"/>
  <c r="Z50" i="13"/>
  <c r="Y50" i="13"/>
  <c r="AA50" i="13"/>
  <c r="AC50" i="13"/>
  <c r="T50" i="13"/>
  <c r="AD50" i="13"/>
  <c r="AF50" i="13"/>
  <c r="Z51" i="13"/>
  <c r="Y51" i="13"/>
  <c r="AA51" i="13"/>
  <c r="AC51" i="13"/>
  <c r="T51" i="13"/>
  <c r="AD51" i="13"/>
  <c r="AF51" i="13"/>
  <c r="Z52" i="13"/>
  <c r="Y52" i="13"/>
  <c r="AA52" i="13"/>
  <c r="AC52" i="13"/>
  <c r="T52" i="13"/>
  <c r="AD52" i="13"/>
  <c r="AF52" i="13"/>
  <c r="Z53" i="13"/>
  <c r="Y53" i="13"/>
  <c r="AA53" i="13"/>
  <c r="AC53" i="13"/>
  <c r="T53" i="13"/>
  <c r="AD53" i="13"/>
  <c r="AF53" i="13"/>
  <c r="Z54" i="13"/>
  <c r="Y54" i="13"/>
  <c r="AA54" i="13"/>
  <c r="AC54" i="13"/>
  <c r="T54" i="13"/>
  <c r="AD54" i="13"/>
  <c r="AF54" i="13"/>
  <c r="T55" i="13"/>
  <c r="Z55" i="13"/>
  <c r="AA55" i="13"/>
  <c r="AC55" i="13"/>
  <c r="AD55" i="13"/>
  <c r="AF55" i="13"/>
  <c r="T56" i="13"/>
  <c r="Z56" i="13"/>
  <c r="AA56" i="13"/>
  <c r="AC56" i="13"/>
  <c r="AD56" i="13"/>
  <c r="AF56" i="13"/>
  <c r="Z57" i="13"/>
  <c r="Y57" i="13"/>
  <c r="AA57" i="13"/>
  <c r="AC57" i="13"/>
  <c r="T57" i="13"/>
  <c r="AD57" i="13"/>
  <c r="AF57" i="13"/>
  <c r="Z58" i="13"/>
  <c r="Y58" i="13"/>
  <c r="AA58" i="13"/>
  <c r="AC58" i="13"/>
  <c r="T58" i="13"/>
  <c r="AD58" i="13"/>
  <c r="AF58" i="13"/>
  <c r="Z59" i="13"/>
  <c r="Y59" i="13"/>
  <c r="AA59" i="13"/>
  <c r="AC59" i="13"/>
  <c r="T59" i="13"/>
  <c r="AD59" i="13"/>
  <c r="AF59" i="13"/>
  <c r="Z60" i="13"/>
  <c r="Y60" i="13"/>
  <c r="AA60" i="13"/>
  <c r="AC60" i="13"/>
  <c r="T60" i="13"/>
  <c r="AD60" i="13"/>
  <c r="AF60" i="13"/>
  <c r="T61" i="13"/>
  <c r="Z61" i="13"/>
  <c r="AA61" i="13"/>
  <c r="AC61" i="13"/>
  <c r="AD61" i="13"/>
  <c r="AF61" i="13"/>
  <c r="Z62" i="13"/>
  <c r="Y62" i="13"/>
  <c r="AA62" i="13"/>
  <c r="AC62" i="13"/>
  <c r="T62" i="13"/>
  <c r="AD62" i="13"/>
  <c r="AF62" i="13"/>
  <c r="Z63" i="13"/>
  <c r="Y63" i="13"/>
  <c r="AA63" i="13"/>
  <c r="AC63" i="13"/>
  <c r="T63" i="13"/>
  <c r="AD63" i="13"/>
  <c r="AF63" i="13"/>
  <c r="Z64" i="13"/>
  <c r="Y64" i="13"/>
  <c r="AA64" i="13"/>
  <c r="AC64" i="13"/>
  <c r="T64" i="13"/>
  <c r="AD64" i="13"/>
  <c r="AF64" i="13"/>
  <c r="Z65" i="13"/>
  <c r="Y65" i="13"/>
  <c r="AA65" i="13"/>
  <c r="AC65" i="13"/>
  <c r="T65" i="13"/>
  <c r="AD65" i="13"/>
  <c r="AF65" i="13"/>
  <c r="Z66" i="13"/>
  <c r="Y66" i="13"/>
  <c r="AA66" i="13"/>
  <c r="AC66" i="13"/>
  <c r="T66" i="13"/>
  <c r="AD66" i="13"/>
  <c r="AF66" i="13"/>
  <c r="Z67" i="13"/>
  <c r="Y67" i="13"/>
  <c r="AA67" i="13"/>
  <c r="AC67" i="13"/>
  <c r="T67" i="13"/>
  <c r="AD67" i="13"/>
  <c r="AF67" i="13"/>
  <c r="T68" i="13"/>
  <c r="Z68" i="13"/>
  <c r="AA68" i="13"/>
  <c r="AC68" i="13"/>
  <c r="AD68" i="13"/>
  <c r="AF68" i="13"/>
  <c r="T69" i="13"/>
  <c r="Z69" i="13"/>
  <c r="AA69" i="13"/>
  <c r="AC69" i="13"/>
  <c r="AD69" i="13"/>
  <c r="AE69" i="13"/>
  <c r="AF69" i="13"/>
  <c r="Z70" i="13"/>
  <c r="Y70" i="13"/>
  <c r="AA70" i="13"/>
  <c r="AC70" i="13"/>
  <c r="T70" i="13"/>
  <c r="AD70" i="13"/>
  <c r="AF70" i="13"/>
  <c r="T71" i="13"/>
  <c r="Z71" i="13"/>
  <c r="AA71" i="13"/>
  <c r="AC71" i="13"/>
  <c r="AD71" i="13"/>
  <c r="AF71" i="13"/>
  <c r="Z72" i="13"/>
  <c r="Y72" i="13"/>
  <c r="AA72" i="13"/>
  <c r="AC72" i="13"/>
  <c r="T72" i="13"/>
  <c r="AD72" i="13"/>
  <c r="AF72" i="13"/>
  <c r="Z73" i="13"/>
  <c r="Y73" i="13"/>
  <c r="AA73" i="13"/>
  <c r="AC73" i="13"/>
  <c r="T73" i="13"/>
  <c r="AD73" i="13"/>
  <c r="AF73" i="13"/>
  <c r="Z74" i="13"/>
  <c r="Y74" i="13"/>
  <c r="AA74" i="13"/>
  <c r="AC74" i="13"/>
  <c r="T74" i="13"/>
  <c r="AD74" i="13"/>
  <c r="AF74" i="13"/>
  <c r="Z75" i="13"/>
  <c r="Y75" i="13"/>
  <c r="AA75" i="13"/>
  <c r="AC75" i="13"/>
  <c r="T75" i="13"/>
  <c r="AD75" i="13"/>
  <c r="AF75" i="13"/>
  <c r="Z76" i="13"/>
  <c r="Y76" i="13"/>
  <c r="AA76" i="13"/>
  <c r="AC76" i="13"/>
  <c r="T76" i="13"/>
  <c r="AD76" i="13"/>
  <c r="AF76" i="13"/>
  <c r="Z77" i="13"/>
  <c r="Y77" i="13"/>
  <c r="AA77" i="13"/>
  <c r="AC77" i="13"/>
  <c r="T77" i="13"/>
  <c r="AD77" i="13"/>
  <c r="AF77" i="13"/>
  <c r="Z78" i="13"/>
  <c r="Y78" i="13"/>
  <c r="AA78" i="13"/>
  <c r="AC78" i="13"/>
  <c r="T78" i="13"/>
  <c r="AD78" i="13"/>
  <c r="AF78" i="13"/>
  <c r="Z79" i="13"/>
  <c r="Y79" i="13"/>
  <c r="AA79" i="13"/>
  <c r="AC79" i="13"/>
  <c r="T79" i="13"/>
  <c r="AD79" i="13"/>
  <c r="AF79" i="13"/>
  <c r="Z80" i="13"/>
  <c r="Y80" i="13"/>
  <c r="AA80" i="13"/>
  <c r="AC80" i="13"/>
  <c r="T80" i="13"/>
  <c r="AD80" i="13"/>
  <c r="AF80" i="13"/>
  <c r="Z81" i="13"/>
  <c r="Y81" i="13"/>
  <c r="AA81" i="13"/>
  <c r="AC81" i="13"/>
  <c r="T81" i="13"/>
  <c r="AD81" i="13"/>
  <c r="AF81" i="13"/>
  <c r="Z82" i="13"/>
  <c r="Y82" i="13"/>
  <c r="AA82" i="13"/>
  <c r="AC82" i="13"/>
  <c r="T82" i="13"/>
  <c r="AD82" i="13"/>
  <c r="AF82" i="13"/>
  <c r="Z83" i="13"/>
  <c r="Y83" i="13"/>
  <c r="AA83" i="13"/>
  <c r="AC83" i="13"/>
  <c r="T83" i="13"/>
  <c r="AD83" i="13"/>
  <c r="AF83" i="13"/>
  <c r="Z84" i="13"/>
  <c r="Y84" i="13"/>
  <c r="AA84" i="13"/>
  <c r="AC84" i="13"/>
  <c r="T84" i="13"/>
  <c r="AD84" i="13"/>
  <c r="AF84" i="13"/>
  <c r="Z85" i="13"/>
  <c r="Y85" i="13"/>
  <c r="AA85" i="13"/>
  <c r="AC85" i="13"/>
  <c r="T85" i="13"/>
  <c r="AD85" i="13"/>
  <c r="AF85" i="13"/>
  <c r="Z86" i="13"/>
  <c r="Y86" i="13"/>
  <c r="AA86" i="13"/>
  <c r="AC86" i="13"/>
  <c r="T86" i="13"/>
  <c r="AD86" i="13"/>
  <c r="AF86" i="13"/>
  <c r="Z87" i="13"/>
  <c r="Y87" i="13"/>
  <c r="AA87" i="13"/>
  <c r="AC87" i="13"/>
  <c r="T87" i="13"/>
  <c r="AD87" i="13"/>
  <c r="AF87" i="13"/>
  <c r="Z88" i="13"/>
  <c r="Y88" i="13"/>
  <c r="AA88" i="13"/>
  <c r="AC88" i="13"/>
  <c r="T88" i="13"/>
  <c r="AD88" i="13"/>
  <c r="AF88" i="13"/>
  <c r="Z89" i="13"/>
  <c r="Y89" i="13"/>
  <c r="AA89" i="13"/>
  <c r="AC89" i="13"/>
  <c r="T89" i="13"/>
  <c r="AD89" i="13"/>
  <c r="AF89" i="13"/>
  <c r="Z90" i="13"/>
  <c r="Y90" i="13"/>
  <c r="AA90" i="13"/>
  <c r="AC90" i="13"/>
  <c r="T90" i="13"/>
  <c r="AD90" i="13"/>
  <c r="AF90" i="13"/>
  <c r="Z91" i="13"/>
  <c r="Y91" i="13"/>
  <c r="AA91" i="13"/>
  <c r="AC91" i="13"/>
  <c r="T91" i="13"/>
  <c r="AD91" i="13"/>
  <c r="AF91" i="13"/>
  <c r="Z92" i="13"/>
  <c r="Y92" i="13"/>
  <c r="AA92" i="13"/>
  <c r="AC92" i="13"/>
  <c r="T92" i="13"/>
  <c r="AD92" i="13"/>
  <c r="AF92" i="13"/>
  <c r="Z93" i="13"/>
  <c r="Y93" i="13"/>
  <c r="AA93" i="13"/>
  <c r="AC93" i="13"/>
  <c r="T93" i="13"/>
  <c r="AD93" i="13"/>
  <c r="AF93" i="13"/>
  <c r="Z94" i="13"/>
  <c r="Y94" i="13"/>
  <c r="AA94" i="13"/>
  <c r="AC94" i="13"/>
  <c r="T94" i="13"/>
  <c r="AD94" i="13"/>
  <c r="AF94" i="13"/>
  <c r="Z95" i="13"/>
  <c r="Y95" i="13"/>
  <c r="AA95" i="13"/>
  <c r="AC95" i="13"/>
  <c r="T95" i="13"/>
  <c r="AD95" i="13"/>
  <c r="AF95" i="13"/>
  <c r="T96" i="13"/>
  <c r="Z96" i="13"/>
  <c r="AA96" i="13"/>
  <c r="AC96" i="13"/>
  <c r="AD96" i="13"/>
  <c r="AF96" i="13"/>
  <c r="Z97" i="13"/>
  <c r="Y97" i="13"/>
  <c r="AA97" i="13"/>
  <c r="AC97" i="13"/>
  <c r="T97" i="13"/>
  <c r="AD97" i="13"/>
  <c r="AF97" i="13"/>
  <c r="T98" i="13"/>
  <c r="Z98" i="13"/>
  <c r="AA98" i="13"/>
  <c r="AC98" i="13"/>
  <c r="AD98" i="13"/>
  <c r="AF98" i="13"/>
  <c r="T99" i="13"/>
  <c r="Z99" i="13"/>
  <c r="AA99" i="13"/>
  <c r="AC99" i="13"/>
  <c r="AD99" i="13"/>
  <c r="AF99" i="13"/>
  <c r="Z100" i="13"/>
  <c r="Y100" i="13"/>
  <c r="AA100" i="13"/>
  <c r="AC100" i="13"/>
  <c r="T100" i="13"/>
  <c r="AD100" i="13"/>
  <c r="AF100" i="13"/>
  <c r="T101" i="13"/>
  <c r="Z101" i="13"/>
  <c r="AA101" i="13"/>
  <c r="AC101" i="13"/>
  <c r="AD101" i="13"/>
  <c r="AF101" i="13"/>
  <c r="Z102" i="13"/>
  <c r="Y102" i="13"/>
  <c r="AA102" i="13"/>
  <c r="AC102" i="13"/>
  <c r="T102" i="13"/>
  <c r="AD102" i="13"/>
  <c r="AF102" i="13"/>
  <c r="Z103" i="13"/>
  <c r="Y103" i="13"/>
  <c r="AA103" i="13"/>
  <c r="AC103" i="13"/>
  <c r="T103" i="13"/>
  <c r="AD103" i="13"/>
  <c r="AF103" i="13"/>
  <c r="Z104" i="13"/>
  <c r="Y104" i="13"/>
  <c r="AA104" i="13"/>
  <c r="AC104" i="13"/>
  <c r="T104" i="13"/>
  <c r="AD104" i="13"/>
  <c r="AF104" i="13"/>
  <c r="Z105" i="13"/>
  <c r="Y105" i="13"/>
  <c r="AA105" i="13"/>
  <c r="AC105" i="13"/>
  <c r="T105" i="13"/>
  <c r="AD105" i="13"/>
  <c r="AF105" i="13"/>
  <c r="Z106" i="13"/>
  <c r="Y106" i="13"/>
  <c r="AA106" i="13"/>
  <c r="AC106" i="13"/>
  <c r="T106" i="13"/>
  <c r="AD106" i="13"/>
  <c r="AF106" i="13"/>
  <c r="Z107" i="13"/>
  <c r="Y107" i="13"/>
  <c r="AA107" i="13"/>
  <c r="AC107" i="13"/>
  <c r="T107" i="13"/>
  <c r="AD107" i="13"/>
  <c r="AF107" i="13"/>
  <c r="Z108" i="13"/>
  <c r="Y108" i="13"/>
  <c r="AA108" i="13"/>
  <c r="AC108" i="13"/>
  <c r="T108" i="13"/>
  <c r="AD108" i="13"/>
  <c r="AF108" i="13"/>
  <c r="Z109" i="13"/>
  <c r="Y109" i="13"/>
  <c r="AA109" i="13"/>
  <c r="AC109" i="13"/>
  <c r="T109" i="13"/>
  <c r="AD109" i="13"/>
  <c r="AF109" i="13"/>
  <c r="T110" i="13"/>
  <c r="Z110" i="13"/>
  <c r="AA110" i="13"/>
  <c r="AC110" i="13"/>
  <c r="AD110" i="13"/>
  <c r="AF110" i="13"/>
  <c r="Z111" i="13"/>
  <c r="Y111" i="13"/>
  <c r="AA111" i="13"/>
  <c r="AC111" i="13"/>
  <c r="T111" i="13"/>
  <c r="AD111" i="13"/>
  <c r="AF111" i="13"/>
  <c r="Z112" i="13"/>
  <c r="Y112" i="13"/>
  <c r="AA112" i="13"/>
  <c r="AC112" i="13"/>
  <c r="T112" i="13"/>
  <c r="AD112" i="13"/>
  <c r="AF112" i="13"/>
  <c r="Z113" i="13"/>
  <c r="Y113" i="13"/>
  <c r="AA113" i="13"/>
  <c r="AC113" i="13"/>
  <c r="T113" i="13"/>
  <c r="AD113" i="13"/>
  <c r="AF113" i="13"/>
  <c r="T114" i="13"/>
  <c r="Z114" i="13"/>
  <c r="AA114" i="13"/>
  <c r="AC114" i="13"/>
  <c r="AD114" i="13"/>
  <c r="AF114" i="13"/>
  <c r="Z115" i="13"/>
  <c r="Y115" i="13"/>
  <c r="AA115" i="13"/>
  <c r="AC115" i="13"/>
  <c r="T115" i="13"/>
  <c r="AD115" i="13"/>
  <c r="AF115" i="13"/>
  <c r="Z116" i="13"/>
  <c r="Y116" i="13"/>
  <c r="AA116" i="13"/>
  <c r="AC116" i="13"/>
  <c r="T116" i="13"/>
  <c r="AD116" i="13"/>
  <c r="AF116" i="13"/>
  <c r="T117" i="13"/>
  <c r="Z117" i="13"/>
  <c r="AA117" i="13"/>
  <c r="AC117" i="13"/>
  <c r="AD117" i="13"/>
  <c r="AF117" i="13"/>
  <c r="Z118" i="13"/>
  <c r="Y118" i="13"/>
  <c r="AA118" i="13"/>
  <c r="AC118" i="13"/>
  <c r="T118" i="13"/>
  <c r="AD118" i="13"/>
  <c r="AF118" i="13"/>
  <c r="Z119" i="13"/>
  <c r="Y119" i="13"/>
  <c r="AA119" i="13"/>
  <c r="AC119" i="13"/>
  <c r="T119" i="13"/>
  <c r="AD119" i="13"/>
  <c r="AF119" i="13"/>
  <c r="T120" i="13"/>
  <c r="Z120" i="13"/>
  <c r="AA120" i="13"/>
  <c r="AC120" i="13"/>
  <c r="AD120" i="13"/>
  <c r="AF120" i="13"/>
  <c r="Z121" i="13"/>
  <c r="Y121" i="13"/>
  <c r="AA121" i="13"/>
  <c r="AC121" i="13"/>
  <c r="T121" i="13"/>
  <c r="AD121" i="13"/>
  <c r="AF121" i="13"/>
  <c r="T122" i="13"/>
  <c r="Z122" i="13"/>
  <c r="AA122" i="13"/>
  <c r="AC122" i="13"/>
  <c r="AD122" i="13"/>
  <c r="AF122" i="13"/>
  <c r="T123" i="13"/>
  <c r="Z123" i="13"/>
  <c r="AA123" i="13"/>
  <c r="AC123" i="13"/>
  <c r="AD123" i="13"/>
  <c r="AF123" i="13"/>
  <c r="T124" i="13"/>
  <c r="Z124" i="13"/>
  <c r="AA124" i="13"/>
  <c r="AC124" i="13"/>
  <c r="AD124" i="13"/>
  <c r="AF124" i="13"/>
  <c r="Z125" i="13"/>
  <c r="Y125" i="13"/>
  <c r="AA125" i="13"/>
  <c r="AC125" i="13"/>
  <c r="T125" i="13"/>
  <c r="AD125" i="13"/>
  <c r="AF125" i="13"/>
  <c r="Z126" i="13"/>
  <c r="Y126" i="13"/>
  <c r="AA126" i="13"/>
  <c r="AC126" i="13"/>
  <c r="T126" i="13"/>
  <c r="AD126" i="13"/>
  <c r="AF126" i="13"/>
  <c r="T127" i="13"/>
  <c r="Z127" i="13"/>
  <c r="AA127" i="13"/>
  <c r="AC127" i="13"/>
  <c r="AD127" i="13"/>
  <c r="AF127" i="13"/>
  <c r="Z128" i="13"/>
  <c r="Y128" i="13"/>
  <c r="AA128" i="13"/>
  <c r="AC128" i="13"/>
  <c r="T128" i="13"/>
  <c r="AD128" i="13"/>
  <c r="AF128" i="13"/>
  <c r="Z129" i="13"/>
  <c r="Y129" i="13"/>
  <c r="AA129" i="13"/>
  <c r="AC129" i="13"/>
  <c r="T129" i="13"/>
  <c r="AD129" i="13"/>
  <c r="AF129" i="13"/>
  <c r="Z130" i="13"/>
  <c r="Y130" i="13"/>
  <c r="AA130" i="13"/>
  <c r="AC130" i="13"/>
  <c r="T130" i="13"/>
  <c r="AD130" i="13"/>
  <c r="AF130" i="13"/>
  <c r="Z131" i="13"/>
  <c r="Y131" i="13"/>
  <c r="AA131" i="13"/>
  <c r="AC131" i="13"/>
  <c r="T131" i="13"/>
  <c r="AD131" i="13"/>
  <c r="AF131" i="13"/>
  <c r="Z132" i="13"/>
  <c r="Y132" i="13"/>
  <c r="AA132" i="13"/>
  <c r="AC132" i="13"/>
  <c r="T132" i="13"/>
  <c r="AD132" i="13"/>
  <c r="AF132" i="13"/>
  <c r="Z133" i="13"/>
  <c r="Y133" i="13"/>
  <c r="AA133" i="13"/>
  <c r="AC133" i="13"/>
  <c r="T133" i="13"/>
  <c r="AD133" i="13"/>
  <c r="AF133" i="13"/>
  <c r="Z134" i="13"/>
  <c r="Y134" i="13"/>
  <c r="AA134" i="13"/>
  <c r="AC134" i="13"/>
  <c r="T134" i="13"/>
  <c r="AD134" i="13"/>
  <c r="AF134" i="13"/>
  <c r="T135" i="13"/>
  <c r="Z135" i="13"/>
  <c r="AA135" i="13"/>
  <c r="AC135" i="13"/>
  <c r="AD135" i="13"/>
  <c r="AF135" i="13"/>
  <c r="Z136" i="13"/>
  <c r="Y136" i="13"/>
  <c r="AA136" i="13"/>
  <c r="AC136" i="13"/>
  <c r="T136" i="13"/>
  <c r="AD136" i="13"/>
  <c r="AF136" i="13"/>
  <c r="Z137" i="13"/>
  <c r="Y137" i="13"/>
  <c r="AA137" i="13"/>
  <c r="AC137" i="13"/>
  <c r="T137" i="13"/>
  <c r="AD137" i="13"/>
  <c r="AF137" i="13"/>
  <c r="Z138" i="13"/>
  <c r="Y138" i="13"/>
  <c r="AA138" i="13"/>
  <c r="AC138" i="13"/>
  <c r="T138" i="13"/>
  <c r="AD138" i="13"/>
  <c r="AF138" i="13"/>
  <c r="Z139" i="13"/>
  <c r="Y139" i="13"/>
  <c r="AA139" i="13"/>
  <c r="AC139" i="13"/>
  <c r="T139" i="13"/>
  <c r="AD139" i="13"/>
  <c r="AF139" i="13"/>
  <c r="T140" i="13"/>
  <c r="Z140" i="13"/>
  <c r="AA140" i="13"/>
  <c r="AC140" i="13"/>
  <c r="AD140" i="13"/>
  <c r="AF140" i="13"/>
  <c r="Z141" i="13"/>
  <c r="Y141" i="13"/>
  <c r="AA141" i="13"/>
  <c r="AC141" i="13"/>
  <c r="T141" i="13"/>
  <c r="AD141" i="13"/>
  <c r="AF141" i="13"/>
  <c r="Z142" i="13"/>
  <c r="Y142" i="13"/>
  <c r="AA142" i="13"/>
  <c r="AC142" i="13"/>
  <c r="T142" i="13"/>
  <c r="AD142" i="13"/>
  <c r="AF142" i="13"/>
  <c r="Z143" i="13"/>
  <c r="Y143" i="13"/>
  <c r="AA143" i="13"/>
  <c r="AC143" i="13"/>
  <c r="T143" i="13"/>
  <c r="AD143" i="13"/>
  <c r="AF143" i="13"/>
  <c r="T144" i="13"/>
  <c r="Z144" i="13"/>
  <c r="AA144" i="13"/>
  <c r="AC144" i="13"/>
  <c r="AD144" i="13"/>
  <c r="AF144" i="13"/>
  <c r="T145" i="13"/>
  <c r="Z145" i="13"/>
  <c r="AA145" i="13"/>
  <c r="AC145" i="13"/>
  <c r="AD145" i="13"/>
  <c r="AF145" i="13"/>
  <c r="T146" i="13"/>
  <c r="Z146" i="13"/>
  <c r="AA146" i="13"/>
  <c r="AC146" i="13"/>
  <c r="AD146" i="13"/>
  <c r="AF146" i="13"/>
  <c r="T147" i="13"/>
  <c r="Z147" i="13"/>
  <c r="AA147" i="13"/>
  <c r="AC147" i="13"/>
  <c r="AD147" i="13"/>
  <c r="AF147" i="13"/>
  <c r="T148" i="13"/>
  <c r="Z148" i="13"/>
  <c r="AA148" i="13"/>
  <c r="AC148" i="13"/>
  <c r="AD148" i="13"/>
  <c r="AF148" i="13"/>
  <c r="Z149" i="13"/>
  <c r="Y149" i="13"/>
  <c r="AA149" i="13"/>
  <c r="AC149" i="13"/>
  <c r="T149" i="13"/>
  <c r="AD149" i="13"/>
  <c r="AF149" i="13"/>
  <c r="T150" i="13"/>
  <c r="Z150" i="13"/>
  <c r="AA150" i="13"/>
  <c r="AC150" i="13"/>
  <c r="AD150" i="13"/>
  <c r="AF150" i="13"/>
  <c r="T151" i="13"/>
  <c r="Z151" i="13"/>
  <c r="AA151" i="13"/>
  <c r="AC151" i="13"/>
  <c r="AD151" i="13"/>
  <c r="AF151" i="13"/>
  <c r="Z152" i="13"/>
  <c r="Y152" i="13"/>
  <c r="AA152" i="13"/>
  <c r="AC152" i="13"/>
  <c r="T152" i="13"/>
  <c r="AD152" i="13"/>
  <c r="AF152" i="13"/>
  <c r="Z153" i="13"/>
  <c r="Y153" i="13"/>
  <c r="AA153" i="13"/>
  <c r="AC153" i="13"/>
  <c r="T153" i="13"/>
  <c r="AD153" i="13"/>
  <c r="AF153" i="13"/>
  <c r="Z154" i="13"/>
  <c r="Y154" i="13"/>
  <c r="AA154" i="13"/>
  <c r="AC154" i="13"/>
  <c r="T154" i="13"/>
  <c r="AD154" i="13"/>
  <c r="AF154" i="13"/>
  <c r="T155" i="13"/>
  <c r="Z155" i="13"/>
  <c r="AA155" i="13"/>
  <c r="AC155" i="13"/>
  <c r="AD155" i="13"/>
  <c r="AF155" i="13"/>
  <c r="T156" i="13"/>
  <c r="Z156" i="13"/>
  <c r="AA156" i="13"/>
  <c r="AC156" i="13"/>
  <c r="AD156" i="13"/>
  <c r="AF156" i="13"/>
  <c r="Z157" i="13"/>
  <c r="Y157" i="13"/>
  <c r="AA157" i="13"/>
  <c r="AC157" i="13"/>
  <c r="T157" i="13"/>
  <c r="AD157" i="13"/>
  <c r="AF157" i="13"/>
  <c r="Z158" i="13"/>
  <c r="Y158" i="13"/>
  <c r="AA158" i="13"/>
  <c r="AC158" i="13"/>
  <c r="T158" i="13"/>
  <c r="AD158" i="13"/>
  <c r="AF158" i="13"/>
  <c r="T159" i="13"/>
  <c r="Z159" i="13"/>
  <c r="AA159" i="13"/>
  <c r="AC159" i="13"/>
  <c r="AD159" i="13"/>
  <c r="AF159" i="13"/>
  <c r="T160" i="13"/>
  <c r="Z160" i="13"/>
  <c r="AA160" i="13"/>
  <c r="AC160" i="13"/>
  <c r="AD160" i="13"/>
  <c r="AF160" i="13"/>
  <c r="T161" i="13"/>
  <c r="Z161" i="13"/>
  <c r="AA161" i="13"/>
  <c r="AC161" i="13"/>
  <c r="AD161" i="13"/>
  <c r="AF161" i="13"/>
  <c r="T162" i="13"/>
  <c r="Z162" i="13"/>
  <c r="AA162" i="13"/>
  <c r="AC162" i="13"/>
  <c r="AD162" i="13"/>
  <c r="AF162" i="13"/>
  <c r="T163" i="13"/>
  <c r="Z163" i="13"/>
  <c r="AA163" i="13"/>
  <c r="AC163" i="13"/>
  <c r="AD163" i="13"/>
  <c r="AF163" i="13"/>
  <c r="T164" i="13"/>
  <c r="Z164" i="13"/>
  <c r="AA164" i="13"/>
  <c r="AC164" i="13"/>
  <c r="AD164" i="13"/>
  <c r="AF164" i="13"/>
  <c r="T165" i="13"/>
  <c r="Z165" i="13"/>
  <c r="AA165" i="13"/>
  <c r="AC165" i="13"/>
  <c r="AD165" i="13"/>
  <c r="AF165" i="13"/>
  <c r="Z166" i="13"/>
  <c r="Y166" i="13"/>
  <c r="AA166" i="13"/>
  <c r="AC166" i="13"/>
  <c r="T166" i="13"/>
  <c r="AD166" i="13"/>
  <c r="AF166" i="13"/>
  <c r="T167" i="13"/>
  <c r="Z167" i="13"/>
  <c r="AA167" i="13"/>
  <c r="AC167" i="13"/>
  <c r="AD167" i="13"/>
  <c r="AF167" i="13"/>
  <c r="T168" i="13"/>
  <c r="Z168" i="13"/>
  <c r="AA168" i="13"/>
  <c r="AC168" i="13"/>
  <c r="AD168" i="13"/>
  <c r="AF168" i="13"/>
  <c r="Z169" i="13"/>
  <c r="Y169" i="13"/>
  <c r="AA169" i="13"/>
  <c r="AC169" i="13"/>
  <c r="T169" i="13"/>
  <c r="AD169" i="13"/>
  <c r="AF169" i="13"/>
  <c r="Z170" i="13"/>
  <c r="Y170" i="13"/>
  <c r="AA170" i="13"/>
  <c r="AC170" i="13"/>
  <c r="T170" i="13"/>
  <c r="AD170" i="13"/>
  <c r="AF170" i="13"/>
  <c r="Z171" i="13"/>
  <c r="Y171" i="13"/>
  <c r="AA171" i="13"/>
  <c r="AC171" i="13"/>
  <c r="T171" i="13"/>
  <c r="AD171" i="13"/>
  <c r="AF171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E168" i="13"/>
  <c r="AE169" i="13"/>
  <c r="AE170" i="13"/>
  <c r="AE171" i="13"/>
  <c r="AE2" i="13"/>
  <c r="Y10" i="13"/>
  <c r="Y29" i="13"/>
  <c r="Y46" i="13"/>
  <c r="Y49" i="13"/>
  <c r="Y55" i="13"/>
  <c r="Y56" i="13"/>
  <c r="Y61" i="13"/>
  <c r="Y68" i="13"/>
  <c r="Y69" i="13"/>
  <c r="Y71" i="13"/>
  <c r="Y96" i="13"/>
  <c r="Y98" i="13"/>
  <c r="Y99" i="13"/>
  <c r="Y101" i="13"/>
  <c r="Y110" i="13"/>
  <c r="Y114" i="13"/>
  <c r="Y117" i="13"/>
  <c r="Y120" i="13"/>
  <c r="Y122" i="13"/>
  <c r="Y123" i="13"/>
  <c r="Y124" i="13"/>
  <c r="Y127" i="13"/>
  <c r="Y135" i="13"/>
  <c r="Y140" i="13"/>
  <c r="Y144" i="13"/>
  <c r="Y145" i="13"/>
  <c r="Y146" i="13"/>
  <c r="Y147" i="13"/>
  <c r="Y148" i="13"/>
  <c r="Y150" i="13"/>
  <c r="Y151" i="13"/>
  <c r="Y155" i="13"/>
  <c r="Y156" i="13"/>
  <c r="Y159" i="13"/>
  <c r="Y160" i="13"/>
  <c r="Y161" i="13"/>
  <c r="Y162" i="13"/>
  <c r="Y163" i="13"/>
  <c r="Y164" i="13"/>
  <c r="Y165" i="13"/>
  <c r="Y167" i="13"/>
  <c r="Y168" i="13"/>
  <c r="F52" i="13"/>
  <c r="D107" i="13"/>
  <c r="E107" i="13"/>
  <c r="F107" i="13"/>
  <c r="D143" i="13"/>
  <c r="E143" i="13"/>
  <c r="F143" i="13"/>
  <c r="F171" i="13"/>
  <c r="V171" i="13"/>
  <c r="V2" i="13"/>
  <c r="D52" i="13"/>
  <c r="E52" i="13"/>
  <c r="D112" i="13"/>
  <c r="E112" i="13"/>
  <c r="E171" i="13"/>
  <c r="U171" i="13"/>
  <c r="U2" i="13"/>
  <c r="O107" i="13"/>
  <c r="O143" i="13"/>
  <c r="O171" i="13"/>
  <c r="O51" i="13"/>
  <c r="O52" i="13"/>
  <c r="O172" i="13"/>
  <c r="T172" i="13"/>
  <c r="Q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S172" i="13"/>
  <c r="N172" i="13"/>
  <c r="P172" i="13"/>
  <c r="L51" i="13"/>
  <c r="L52" i="13"/>
  <c r="H107" i="13"/>
  <c r="I107" i="13"/>
  <c r="L107" i="13"/>
  <c r="M114" i="13"/>
  <c r="L114" i="13"/>
  <c r="M115" i="13"/>
  <c r="L115" i="13"/>
  <c r="M116" i="13"/>
  <c r="L116" i="13"/>
  <c r="M117" i="13"/>
  <c r="L117" i="13"/>
  <c r="M118" i="13"/>
  <c r="L118" i="13"/>
  <c r="M119" i="13"/>
  <c r="L119" i="13"/>
  <c r="M120" i="13"/>
  <c r="L120" i="13"/>
  <c r="M121" i="13"/>
  <c r="L121" i="13"/>
  <c r="M122" i="13"/>
  <c r="L122" i="13"/>
  <c r="M123" i="13"/>
  <c r="L123" i="13"/>
  <c r="M124" i="13"/>
  <c r="L124" i="13"/>
  <c r="M125" i="13"/>
  <c r="L125" i="13"/>
  <c r="M126" i="13"/>
  <c r="L126" i="13"/>
  <c r="M127" i="13"/>
  <c r="L127" i="13"/>
  <c r="M128" i="13"/>
  <c r="L128" i="13"/>
  <c r="M129" i="13"/>
  <c r="L129" i="13"/>
  <c r="M130" i="13"/>
  <c r="L130" i="13"/>
  <c r="M131" i="13"/>
  <c r="L131" i="13"/>
  <c r="M132" i="13"/>
  <c r="L132" i="13"/>
  <c r="M133" i="13"/>
  <c r="L133" i="13"/>
  <c r="M134" i="13"/>
  <c r="L134" i="13"/>
  <c r="M135" i="13"/>
  <c r="L135" i="13"/>
  <c r="M136" i="13"/>
  <c r="L136" i="13"/>
  <c r="M137" i="13"/>
  <c r="L137" i="13"/>
  <c r="M138" i="13"/>
  <c r="L138" i="13"/>
  <c r="M139" i="13"/>
  <c r="L139" i="13"/>
  <c r="M140" i="13"/>
  <c r="L140" i="13"/>
  <c r="M141" i="13"/>
  <c r="L141" i="13"/>
  <c r="M142" i="13"/>
  <c r="L142" i="13"/>
  <c r="H143" i="13"/>
  <c r="K143" i="13"/>
  <c r="L143" i="13"/>
  <c r="H171" i="13"/>
  <c r="I171" i="13"/>
  <c r="K171" i="13"/>
  <c r="L171" i="13"/>
  <c r="L172" i="13"/>
  <c r="K51" i="13"/>
  <c r="K52" i="13"/>
  <c r="K107" i="13"/>
  <c r="K172" i="13"/>
  <c r="M172" i="13"/>
  <c r="H51" i="13"/>
  <c r="I51" i="13"/>
  <c r="H112" i="13"/>
  <c r="I112" i="13"/>
  <c r="J116" i="13"/>
  <c r="I116" i="13"/>
  <c r="I143" i="13"/>
  <c r="I172" i="13"/>
  <c r="H172" i="13"/>
  <c r="J172" i="13"/>
  <c r="S171" i="13"/>
  <c r="P171" i="13"/>
  <c r="M171" i="13"/>
  <c r="J171" i="13"/>
  <c r="D171" i="13"/>
  <c r="S170" i="13"/>
  <c r="M170" i="13"/>
  <c r="J170" i="13"/>
  <c r="S169" i="13"/>
  <c r="M169" i="13"/>
  <c r="J169" i="13"/>
  <c r="S168" i="13"/>
  <c r="M168" i="13"/>
  <c r="J168" i="13"/>
  <c r="S167" i="13"/>
  <c r="M167" i="13"/>
  <c r="J167" i="13"/>
  <c r="S166" i="13"/>
  <c r="M166" i="13"/>
  <c r="J166" i="13"/>
  <c r="M165" i="13"/>
  <c r="J165" i="13"/>
  <c r="S164" i="13"/>
  <c r="M164" i="13"/>
  <c r="J164" i="13"/>
  <c r="S163" i="13"/>
  <c r="M163" i="13"/>
  <c r="J163" i="13"/>
  <c r="S162" i="13"/>
  <c r="M162" i="13"/>
  <c r="J162" i="13"/>
  <c r="S161" i="13"/>
  <c r="M161" i="13"/>
  <c r="J161" i="13"/>
  <c r="S160" i="13"/>
  <c r="M160" i="13"/>
  <c r="J160" i="13"/>
  <c r="S159" i="13"/>
  <c r="M159" i="13"/>
  <c r="J159" i="13"/>
  <c r="S158" i="13"/>
  <c r="M158" i="13"/>
  <c r="J158" i="13"/>
  <c r="S157" i="13"/>
  <c r="M157" i="13"/>
  <c r="J157" i="13"/>
  <c r="S156" i="13"/>
  <c r="M156" i="13"/>
  <c r="J156" i="13"/>
  <c r="S155" i="13"/>
  <c r="M155" i="13"/>
  <c r="J155" i="13"/>
  <c r="S154" i="13"/>
  <c r="M154" i="13"/>
  <c r="J154" i="13"/>
  <c r="S153" i="13"/>
  <c r="M153" i="13"/>
  <c r="J153" i="13"/>
  <c r="S152" i="13"/>
  <c r="M152" i="13"/>
  <c r="J152" i="13"/>
  <c r="S151" i="13"/>
  <c r="M151" i="13"/>
  <c r="J151" i="13"/>
  <c r="S150" i="13"/>
  <c r="M150" i="13"/>
  <c r="J150" i="13"/>
  <c r="S149" i="13"/>
  <c r="M149" i="13"/>
  <c r="J149" i="13"/>
  <c r="S148" i="13"/>
  <c r="M148" i="13"/>
  <c r="J148" i="13"/>
  <c r="S147" i="13"/>
  <c r="M147" i="13"/>
  <c r="J147" i="13"/>
  <c r="S146" i="13"/>
  <c r="M146" i="13"/>
  <c r="J146" i="13"/>
  <c r="S145" i="13"/>
  <c r="M145" i="13"/>
  <c r="J145" i="13"/>
  <c r="S144" i="13"/>
  <c r="M144" i="13"/>
  <c r="J144" i="13"/>
  <c r="S143" i="13"/>
  <c r="P143" i="13"/>
  <c r="M143" i="13"/>
  <c r="J143" i="13"/>
  <c r="S142" i="13"/>
  <c r="J142" i="13"/>
  <c r="S141" i="13"/>
  <c r="J141" i="13"/>
  <c r="S140" i="13"/>
  <c r="J140" i="13"/>
  <c r="S139" i="13"/>
  <c r="J139" i="13"/>
  <c r="S138" i="13"/>
  <c r="J138" i="13"/>
  <c r="S137" i="13"/>
  <c r="J137" i="13"/>
  <c r="S136" i="13"/>
  <c r="J136" i="13"/>
  <c r="S135" i="13"/>
  <c r="J135" i="13"/>
  <c r="S134" i="13"/>
  <c r="J134" i="13"/>
  <c r="S133" i="13"/>
  <c r="J133" i="13"/>
  <c r="S132" i="13"/>
  <c r="J132" i="13"/>
  <c r="S131" i="13"/>
  <c r="J131" i="13"/>
  <c r="S130" i="13"/>
  <c r="J130" i="13"/>
  <c r="S129" i="13"/>
  <c r="J129" i="13"/>
  <c r="S128" i="13"/>
  <c r="J128" i="13"/>
  <c r="S127" i="13"/>
  <c r="J127" i="13"/>
  <c r="S126" i="13"/>
  <c r="J126" i="13"/>
  <c r="S125" i="13"/>
  <c r="J125" i="13"/>
  <c r="S124" i="13"/>
  <c r="J124" i="13"/>
  <c r="S123" i="13"/>
  <c r="J123" i="13"/>
  <c r="S122" i="13"/>
  <c r="J122" i="13"/>
  <c r="S121" i="13"/>
  <c r="J121" i="13"/>
  <c r="S120" i="13"/>
  <c r="J120" i="13"/>
  <c r="S119" i="13"/>
  <c r="J119" i="13"/>
  <c r="S118" i="13"/>
  <c r="J118" i="13"/>
  <c r="S117" i="13"/>
  <c r="J117" i="13"/>
  <c r="S116" i="13"/>
  <c r="S115" i="13"/>
  <c r="J115" i="13"/>
  <c r="S114" i="13"/>
  <c r="J114" i="13"/>
  <c r="S113" i="13"/>
  <c r="S112" i="13"/>
  <c r="M112" i="13"/>
  <c r="J112" i="13"/>
  <c r="S111" i="13"/>
  <c r="S110" i="13"/>
  <c r="S109" i="13"/>
  <c r="S108" i="13"/>
  <c r="S107" i="13"/>
  <c r="P107" i="13"/>
  <c r="M107" i="13"/>
  <c r="J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P52" i="13"/>
  <c r="M52" i="13"/>
  <c r="J52" i="13"/>
  <c r="S51" i="13"/>
  <c r="P51" i="13"/>
  <c r="M51" i="13"/>
  <c r="J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M19" i="13"/>
  <c r="S18" i="13"/>
  <c r="S17" i="13"/>
  <c r="S16" i="13"/>
  <c r="P16" i="13"/>
  <c r="M16" i="13"/>
  <c r="J16" i="13"/>
  <c r="S15" i="13"/>
  <c r="S14" i="13"/>
  <c r="S13" i="13"/>
  <c r="S12" i="13"/>
  <c r="S11" i="13"/>
  <c r="S10" i="13"/>
  <c r="S9" i="13"/>
  <c r="S8" i="13"/>
  <c r="S7" i="13"/>
  <c r="S6" i="13"/>
  <c r="S5" i="13"/>
  <c r="M5" i="13"/>
  <c r="S4" i="13"/>
  <c r="S3" i="13"/>
  <c r="S2" i="13"/>
  <c r="N28" i="3"/>
  <c r="N39" i="3"/>
  <c r="K39" i="3"/>
  <c r="H39" i="3"/>
  <c r="N17" i="3"/>
  <c r="K17" i="3"/>
  <c r="H17" i="3"/>
  <c r="N3" i="3"/>
  <c r="K3" i="3"/>
  <c r="H3" i="3"/>
  <c r="V3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V170" i="13"/>
  <c r="V169" i="13"/>
  <c r="V168" i="13"/>
  <c r="V167" i="13"/>
  <c r="V166" i="13"/>
  <c r="V165" i="13"/>
  <c r="V164" i="13"/>
  <c r="V163" i="13"/>
  <c r="V162" i="13"/>
  <c r="V161" i="13"/>
  <c r="V160" i="13"/>
  <c r="V159" i="13"/>
  <c r="V158" i="13"/>
  <c r="V157" i="13"/>
  <c r="V156" i="13"/>
  <c r="V155" i="13"/>
  <c r="V154" i="13"/>
  <c r="V153" i="13"/>
  <c r="V152" i="13"/>
  <c r="V151" i="13"/>
  <c r="V150" i="13"/>
  <c r="V149" i="13"/>
  <c r="V148" i="13"/>
  <c r="V147" i="13"/>
  <c r="V146" i="13"/>
  <c r="V145" i="13"/>
  <c r="V144" i="13"/>
  <c r="V143" i="13"/>
  <c r="V142" i="13"/>
  <c r="V141" i="13"/>
  <c r="V140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26" i="13"/>
  <c r="V125" i="13"/>
  <c r="V124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V111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V44" i="13"/>
  <c r="V43" i="13"/>
  <c r="V42" i="13"/>
  <c r="V41" i="13"/>
  <c r="V40" i="13"/>
  <c r="V39" i="13"/>
  <c r="V38" i="13"/>
  <c r="V37" i="13"/>
  <c r="V36" i="13"/>
  <c r="V35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V5" i="13"/>
  <c r="V4" i="13"/>
</calcChain>
</file>

<file path=xl/sharedStrings.xml><?xml version="1.0" encoding="utf-8"?>
<sst xmlns="http://schemas.openxmlformats.org/spreadsheetml/2006/main" count="775" uniqueCount="493">
  <si>
    <t>STT</t>
  </si>
  <si>
    <t>Khu vực cũ</t>
  </si>
  <si>
    <t>Trường THPT</t>
  </si>
  <si>
    <t>NV1 2024 công bố</t>
  </si>
  <si>
    <t>NV1 2024 quy đổi thang 30</t>
  </si>
  <si>
    <t>NV1 2025</t>
  </si>
  <si>
    <t>NV1 2026</t>
  </si>
  <si>
    <t>Chỉ tiêu 2024</t>
  </si>
  <si>
    <t>ĐK NV1 2024</t>
  </si>
  <si>
    <t>Tỷ lệ chọi 2024</t>
  </si>
  <si>
    <t>Chỉ tiêu 2025</t>
  </si>
  <si>
    <t>ĐK NV1 2025</t>
  </si>
  <si>
    <t>Tỷ lệ chọi 2025</t>
  </si>
  <si>
    <t>Chỉ tiêu 2026</t>
  </si>
  <si>
    <t>ĐK NV1 2026</t>
  </si>
  <si>
    <t>Tỷ lệ chọi 2026</t>
  </si>
  <si>
    <t>TP.HCM cũ</t>
  </si>
  <si>
    <t>THPT Trưng Vương</t>
  </si>
  <si>
    <t>THPT Bùi Thị Xuân</t>
  </si>
  <si>
    <t>THPT Ten Lơ Man</t>
  </si>
  <si>
    <t>THPT Năng khiếu TDTT</t>
  </si>
  <si>
    <t>THCS và THPT Trần Đại Nghĩa</t>
  </si>
  <si>
    <t>THPT Lương Thế Vinh</t>
  </si>
  <si>
    <t>THPT Giồng Ông Tố</t>
  </si>
  <si>
    <t>THPT Thủ Thiêm</t>
  </si>
  <si>
    <t>THPT Lê Quý Đôn</t>
  </si>
  <si>
    <t>THPT Nguyễn Thị Minh Khai</t>
  </si>
  <si>
    <t>THPT Lê Thị Hồng Gấm</t>
  </si>
  <si>
    <t>THPT Marie Curie</t>
  </si>
  <si>
    <t>THPT Nguyễn Thị Diệu</t>
  </si>
  <si>
    <t>THPT Nguyễn Trãi</t>
  </si>
  <si>
    <t>THPT Nguyễn Hữu Thọ</t>
  </si>
  <si>
    <t>THPT Hùng Vương</t>
  </si>
  <si>
    <t>Trung học thực hành Sư phạm</t>
  </si>
  <si>
    <t>THPT Trần Khai Nguyên</t>
  </si>
  <si>
    <t>THPT Trần Hữu Trang</t>
  </si>
  <si>
    <t>THPT Mạc Đĩnh Chi</t>
  </si>
  <si>
    <t>THPT Bình Phú</t>
  </si>
  <si>
    <t>THPT Nguyễn Tất Thành</t>
  </si>
  <si>
    <t>THPT Phạm Phú Thứ</t>
  </si>
  <si>
    <t>THPT Lê Thánh Tôn</t>
  </si>
  <si>
    <t>THPT Tân Phong</t>
  </si>
  <si>
    <t>THPT Ngô Quyền</t>
  </si>
  <si>
    <t>THPT Nam Sài Gòn</t>
  </si>
  <si>
    <t>THPT Lương Văn Can</t>
  </si>
  <si>
    <t>THPT Ngô Gia Tự</t>
  </si>
  <si>
    <t>THPT Tạ Quang Bửu</t>
  </si>
  <si>
    <t>THPT Nguyễn Văn Linh</t>
  </si>
  <si>
    <t>THPT Võ Văn Kiệt</t>
  </si>
  <si>
    <t>Phổ thông NK TDTT Nguyễn Thị Định</t>
  </si>
  <si>
    <t>THPT Nguyễn Huệ</t>
  </si>
  <si>
    <t>THPT Phước Long</t>
  </si>
  <si>
    <t>THPT Long Trường</t>
  </si>
  <si>
    <t>THPT Nguyễn Văn Tăng</t>
  </si>
  <si>
    <t>THPT Dương Văn Thì</t>
  </si>
  <si>
    <t>THPT Nguyễn Khuyến</t>
  </si>
  <si>
    <t>THPT Nguyễn Du</t>
  </si>
  <si>
    <t>THPT Nguyễn An Ninh</t>
  </si>
  <si>
    <t>THPT Diên Hồng</t>
  </si>
  <si>
    <t>THPT Sương Nguyệt Anh</t>
  </si>
  <si>
    <t>THPT Nguyễn Hiền</t>
  </si>
  <si>
    <t>THPT Trần Quang Khải</t>
  </si>
  <si>
    <t>THPT Nam Kỳ Khởi Nghĩa</t>
  </si>
  <si>
    <t>THPT Võ Trường Toản</t>
  </si>
  <si>
    <t>THPT Trường Chinh</t>
  </si>
  <si>
    <t>THPT Phan Văn Hớn</t>
  </si>
  <si>
    <t>TH, THCS và THPT Lê Thị Riêng</t>
  </si>
  <si>
    <t>THPT Thạnh Lộc</t>
  </si>
  <si>
    <t>THPT Thanh Đa</t>
  </si>
  <si>
    <t>THPT Võ Thị Sáu</t>
  </si>
  <si>
    <t>THPT Gia Định</t>
  </si>
  <si>
    <t>THPT Phan Đăng Lưu</t>
  </si>
  <si>
    <t>THPT Trần Văn Giàu</t>
  </si>
  <si>
    <t>THPT Hoàng Hoa Thám</t>
  </si>
  <si>
    <t>THPT Gò Vấp</t>
  </si>
  <si>
    <t>THPT Nguyễn Công Trứ</t>
  </si>
  <si>
    <t>THPT Trần Hưng Đạo</t>
  </si>
  <si>
    <t>THPT Nguyễn Trung Trực</t>
  </si>
  <si>
    <t>THPT Phú Nhuận</t>
  </si>
  <si>
    <t>THPT Hàn Thuyên</t>
  </si>
  <si>
    <t>THPT Tân Bình</t>
  </si>
  <si>
    <t>THPT Nguyễn Chí Thanh</t>
  </si>
  <si>
    <t>THPT Trần Phú</t>
  </si>
  <si>
    <t>THPT Nguyễn Thượng Hiền</t>
  </si>
  <si>
    <t>THPT Nguyễn Thái Bình</t>
  </si>
  <si>
    <t>THPT Nguyễn Hữu Huân</t>
  </si>
  <si>
    <t>THPT Thủ Đức</t>
  </si>
  <si>
    <t>THPT Tam Phú</t>
  </si>
  <si>
    <t>THPT Hiệp Bình</t>
  </si>
  <si>
    <t>THPT Đào Sơn Tây</t>
  </si>
  <si>
    <t>THPT Linh Trung</t>
  </si>
  <si>
    <t>THPT Bình Chiểu</t>
  </si>
  <si>
    <t>THPT Bình Chánh</t>
  </si>
  <si>
    <t>THPT Tân Túc</t>
  </si>
  <si>
    <t>THPT Vĩnh Lộc B</t>
  </si>
  <si>
    <t>Phổ thông Năng khiếu TDTT Bình Chánh</t>
  </si>
  <si>
    <t>THPT Phong Phú</t>
  </si>
  <si>
    <t>THPT Lê Minh Xuân</t>
  </si>
  <si>
    <t>THPT Đa Phước</t>
  </si>
  <si>
    <t>THPT Bình Khánh</t>
  </si>
  <si>
    <t>THPT Cần Thạnh</t>
  </si>
  <si>
    <t>THPT An Nghĩa</t>
  </si>
  <si>
    <t>THPT Củ Chi</t>
  </si>
  <si>
    <t>THPT Quang Trung</t>
  </si>
  <si>
    <t>THPT An Nhơn Tây</t>
  </si>
  <si>
    <t>THPT Trung Phú</t>
  </si>
  <si>
    <t>THPT Trung Lập</t>
  </si>
  <si>
    <t>THPT Phú Hòa</t>
  </si>
  <si>
    <t>THPT Tân Thông Hội</t>
  </si>
  <si>
    <t>THPT Nguyễn Hữu Cầu</t>
  </si>
  <si>
    <t>THPT Lý Thường Kiệt</t>
  </si>
  <si>
    <t>THPT Bà Điểm</t>
  </si>
  <si>
    <t>THPT Nguyễn Văn Cừ</t>
  </si>
  <si>
    <t>THPT Nguyễn Hữu Tiến</t>
  </si>
  <si>
    <t>THPT Phạm Văn Sáng</t>
  </si>
  <si>
    <t>THPT Hồ Thị Bi</t>
  </si>
  <si>
    <t>THPT Long Thới</t>
  </si>
  <si>
    <t>THPT Phước Kiển</t>
  </si>
  <si>
    <t>THPT Dương Văn Dương</t>
  </si>
  <si>
    <t>THPT Tây Thạnh</t>
  </si>
  <si>
    <t>THPT Lê Trọng Tấn</t>
  </si>
  <si>
    <t>THPT Thoại Ngọc Hầu</t>
  </si>
  <si>
    <t>THPT Vĩnh Lộc</t>
  </si>
  <si>
    <t>THPT Nguyễn Hữu Cảnh</t>
  </si>
  <si>
    <t>THPT Bình Hưng Hòa</t>
  </si>
  <si>
    <t>THPT Bình Tân</t>
  </si>
  <si>
    <t>THPT An Lạc</t>
  </si>
  <si>
    <t>Bình Dương cũ</t>
  </si>
  <si>
    <t>THPT Lý Thái Tổ</t>
  </si>
  <si>
    <t>THPT Lê Lợi</t>
  </si>
  <si>
    <t>THPT Dĩ An</t>
  </si>
  <si>
    <t>THPT Võ Minh Đức</t>
  </si>
  <si>
    <t>THCS và THPT Minh Hòa</t>
  </si>
  <si>
    <t>THPT Bình An</t>
  </si>
  <si>
    <t>THPT Nguyễn Đình Chiểu</t>
  </si>
  <si>
    <t>THPT Trịnh Hoài Đức</t>
  </si>
  <si>
    <t>THPT Huỳnh Văn Nghệ</t>
  </si>
  <si>
    <t>THPT Phước Vĩnh</t>
  </si>
  <si>
    <t>THPT Bến Cát</t>
  </si>
  <si>
    <t>THPT Dầu Tiếng</t>
  </si>
  <si>
    <t>THPT Trần Văn Ơn</t>
  </si>
  <si>
    <t>THCS và THPT Tây Sơn</t>
  </si>
  <si>
    <t>THCS và THPT Nguyễn Huệ</t>
  </si>
  <si>
    <t>THPT Tây Nam</t>
  </si>
  <si>
    <t>THPT Tân Phước Khánh</t>
  </si>
  <si>
    <t>THPT Thái Hòa</t>
  </si>
  <si>
    <t>THPT An Mỹ</t>
  </si>
  <si>
    <t>THPT Phước Hòa</t>
  </si>
  <si>
    <t>THPT Bàu Bàng</t>
  </si>
  <si>
    <t>THPT Long Hòa</t>
  </si>
  <si>
    <t>THPT Thường Tân</t>
  </si>
  <si>
    <t>THPT Thanh Tuyền</t>
  </si>
  <si>
    <t>THPT Hà Huy Tập</t>
  </si>
  <si>
    <t>Bà Rịa - Vũng Tàu cũ</t>
  </si>
  <si>
    <t>THPT Vũng Tàu</t>
  </si>
  <si>
    <t>THPT Châu Thành</t>
  </si>
  <si>
    <t>THPT Xuyên Mộc</t>
  </si>
  <si>
    <t>THPT Phú Mỹ</t>
  </si>
  <si>
    <t>THPT Hắc Dịch</t>
  </si>
  <si>
    <t>THPT Trần Văn Quan</t>
  </si>
  <si>
    <t>THPT Hòa Hội</t>
  </si>
  <si>
    <t>THPT Nguyễn Bỉnh Khiêm</t>
  </si>
  <si>
    <t>THPT Phước Bửu</t>
  </si>
  <si>
    <t>THPT Long Hải - Phước Tỉnh</t>
  </si>
  <si>
    <t>THPT Minh Đạm</t>
  </si>
  <si>
    <t>THPT Đinh Tiên Hoàng</t>
  </si>
  <si>
    <t>THPT Trần Nguyên Hãn</t>
  </si>
  <si>
    <t>THPT Hòa Bình</t>
  </si>
  <si>
    <t>THPT Dương Bạch Mai</t>
  </si>
  <si>
    <t>THPT Bà Rịa</t>
  </si>
  <si>
    <t>THPT Bưng Riềng</t>
  </si>
  <si>
    <t>THPT Võ Nguyên Giáp</t>
  </si>
  <si>
    <t>THPT Hoàng Thế Thiện (trường Bình Trị Đông B trước)</t>
  </si>
  <si>
    <t>Trường</t>
  </si>
  <si>
    <t>CT 2024</t>
  </si>
  <si>
    <t>Đăng ký 2024</t>
  </si>
  <si>
    <t>CT 2025</t>
  </si>
  <si>
    <t>Đăng ký 2025</t>
  </si>
  <si>
    <t>CT 2026</t>
  </si>
  <si>
    <t>Đăng ký 2026</t>
  </si>
  <si>
    <t>THPT chuyên Lê Hồng Phong</t>
  </si>
  <si>
    <t>THPT chuyên Trần Đại Nghĩa</t>
  </si>
  <si>
    <t>THPT chuyên Lê Quý Đôn – Vũng Tàu</t>
  </si>
  <si>
    <t>THPT chuyên Hùng Vương – Bình Dương</t>
  </si>
  <si>
    <t>tỷ lệ chọi</t>
  </si>
  <si>
    <t>Môn chuyên/chương trình</t>
  </si>
  <si>
    <t>LHP</t>
  </si>
  <si>
    <t>Tiếng Anh</t>
  </si>
  <si>
    <t>Tiếng Anh – Đề án 5695</t>
  </si>
  <si>
    <t>Địa lí</t>
  </si>
  <si>
    <t>Hóa học</t>
  </si>
  <si>
    <t>Vật lí</t>
  </si>
  <si>
    <t>Tiếng Nhật</t>
  </si>
  <si>
    <t>Tiếng Pháp</t>
  </si>
  <si>
    <t>Sinh học</t>
  </si>
  <si>
    <t>Lịch sử</t>
  </si>
  <si>
    <t>Tin học</t>
  </si>
  <si>
    <t>Toán</t>
  </si>
  <si>
    <t>Tiếng Trung</t>
  </si>
  <si>
    <t>Ngữ văn</t>
  </si>
  <si>
    <t>TĐN</t>
  </si>
  <si>
    <t>HV</t>
  </si>
  <si>
    <t>LQĐ</t>
  </si>
  <si>
    <t>`</t>
  </si>
  <si>
    <t>Điểm chuẩn 2024</t>
  </si>
  <si>
    <t>Điểm chuẩn 2025</t>
  </si>
  <si>
    <t>Điểm chuẩn 2026</t>
  </si>
  <si>
    <t>Mã tổ hợp thường gặp</t>
  </si>
  <si>
    <t>Môn xét tuyển</t>
  </si>
  <si>
    <t>Phù hợp nhóm ngành</t>
  </si>
  <si>
    <t>Khối A – tự nhiên, kỹ thuật, kinh tế</t>
  </si>
  <si>
    <t>A00</t>
  </si>
  <si>
    <t>Toán, Vật lí, Hóa học</t>
  </si>
  <si>
    <t>Kỹ thuật, công nghệ, kinh tế, tài chính, xây dựng, y dược một số trường</t>
  </si>
  <si>
    <t>A01</t>
  </si>
  <si>
    <t>Toán, Vật lí, Tiếng Anh</t>
  </si>
  <si>
    <t>CNTT, kỹ thuật, kinh tế, logistics, quản trị</t>
  </si>
  <si>
    <t>A02</t>
  </si>
  <si>
    <t>Toán, Vật lí, Sinh học</t>
  </si>
  <si>
    <t>Kỹ thuật y sinh, môi trường, nông nghiệp, sinh học</t>
  </si>
  <si>
    <t>A04</t>
  </si>
  <si>
    <t>Toán, Vật lí, Địa lí</t>
  </si>
  <si>
    <t>Kỹ thuật, địa lý, quy hoạch, môi trường</t>
  </si>
  <si>
    <t>A05</t>
  </si>
  <si>
    <t>Toán, Hóa học, Lịch sử</t>
  </si>
  <si>
    <t>Một số ngành xã hội – tự nhiên giao thoa</t>
  </si>
  <si>
    <t>A06</t>
  </si>
  <si>
    <t>Toán, Hóa học, Địa lí</t>
  </si>
  <si>
    <t>Môi trường, nông nghiệp, địa lý, tài nguyên</t>
  </si>
  <si>
    <t>Khối B – y sinh, sức khỏe, nông nghiệp</t>
  </si>
  <si>
    <t>B00</t>
  </si>
  <si>
    <t>Toán, Hóa học, Sinh học</t>
  </si>
  <si>
    <t>Y, dược, điều dưỡng, xét nghiệm, công nghệ sinh học</t>
  </si>
  <si>
    <t>B08</t>
  </si>
  <si>
    <t>Toán, Sinh học, Tiếng Anh</t>
  </si>
  <si>
    <t>Y sinh, công nghệ sinh học, điều dưỡng, môi trường</t>
  </si>
  <si>
    <t>B02</t>
  </si>
  <si>
    <t>Toán, Sinh học, Địa lí</t>
  </si>
  <si>
    <t>Môi trường, nông nghiệp, tài nguyên</t>
  </si>
  <si>
    <t>B04/X13</t>
  </si>
  <si>
    <t>Toán, Sinh học, GDKT&amp;PL</t>
  </si>
  <si>
    <t>Một số ngành sức khỏe, sinh học, giáo dục, xã hội ứng dụng</t>
  </si>
  <si>
    <t>Khối C – xã hội, luật, sư phạm, báo chí</t>
  </si>
  <si>
    <t>C00</t>
  </si>
  <si>
    <t>Ngữ văn, Lịch sử, Địa lí</t>
  </si>
  <si>
    <t>Luật, báo chí, sư phạm, xã hội học, quản lý nhà nước</t>
  </si>
  <si>
    <t>C01</t>
  </si>
  <si>
    <t>Ngữ văn, Toán, Vật lí</t>
  </si>
  <si>
    <t>Kỹ thuật, quản lý, kinh tế ở một số trường</t>
  </si>
  <si>
    <t>C02</t>
  </si>
  <si>
    <t>Ngữ văn, Toán, Hóa học</t>
  </si>
  <si>
    <t>Sức khỏe, môi trường, công nghệ thực phẩm, kinh tế</t>
  </si>
  <si>
    <t>C03</t>
  </si>
  <si>
    <t>Ngữ văn, Toán, Lịch sử</t>
  </si>
  <si>
    <t>Luật, quản lý nhà nước, hành chính, xã hội</t>
  </si>
  <si>
    <t>C04</t>
  </si>
  <si>
    <t>Ngữ văn, Toán, Địa lí</t>
  </si>
  <si>
    <t>Kinh tế, quản trị, du lịch, luật, truyền thông</t>
  </si>
  <si>
    <t>C14</t>
  </si>
  <si>
    <t>Ngữ văn, Toán, GDKT&amp;PL</t>
  </si>
  <si>
    <t>Luật, quản lý nhà nước, kinh tế, hành chính</t>
  </si>
  <si>
    <t>Khối D – ngoại ngữ, kinh tế, xã hội, truyền thông</t>
  </si>
  <si>
    <t>D01</t>
  </si>
  <si>
    <t>Toán, Ngữ văn, Tiếng Anh</t>
  </si>
  <si>
    <t>Rất rộng: kinh tế, luật, ngôn ngữ, truyền thông, quản trị</t>
  </si>
  <si>
    <t>D07</t>
  </si>
  <si>
    <t>Toán, Hóa học, Tiếng Anh</t>
  </si>
  <si>
    <t>Y dược, kỹ thuật hóa, công nghệ thực phẩm, kinh tế</t>
  </si>
  <si>
    <t>D08</t>
  </si>
  <si>
    <t>Y sinh, môi trường, sinh học, nông nghiệp</t>
  </si>
  <si>
    <t>D09</t>
  </si>
  <si>
    <t>Toán, Lịch sử, Tiếng Anh</t>
  </si>
  <si>
    <t>Luật, xã hội, quan hệ quốc tế, truyền thông</t>
  </si>
  <si>
    <t>D10</t>
  </si>
  <si>
    <t>Toán, Địa lí, Tiếng Anh</t>
  </si>
  <si>
    <t>Du lịch, logistics, kinh tế, địa lý, quản trị</t>
  </si>
  <si>
    <t>D14</t>
  </si>
  <si>
    <t>Ngữ văn, Lịch sử, Tiếng Anh</t>
  </si>
  <si>
    <t>Báo chí, luật, sư phạm, quan hệ quốc tế</t>
  </si>
  <si>
    <t>D15</t>
  </si>
  <si>
    <t>Ngữ văn, Địa lí, Tiếng Anh</t>
  </si>
  <si>
    <t>Du lịch, truyền thông, xã hội, ngôn ngữ</t>
  </si>
  <si>
    <t>D03, D04, D05, D06</t>
  </si>
  <si>
    <t>Văn, Toán, Pháp/Trung/Đức/Nhật</t>
  </si>
  <si>
    <t>Nhóm ngành ngôn ngữ, quốc tế học, du lịch</t>
  </si>
  <si>
    <t>Khối K/X mới – Tin học, Công nghệ, GDKT&amp;PL</t>
  </si>
  <si>
    <t>X26/K01</t>
  </si>
  <si>
    <t>Toán, Tiếng Anh, Tin học</t>
  </si>
  <si>
    <t>CNTT, khoa học dữ liệu, AI, thương mại điện tử</t>
  </si>
  <si>
    <t>X25</t>
  </si>
  <si>
    <t>Toán, Tiếng Anh, GDKT&amp;PL</t>
  </si>
  <si>
    <t>Kinh tế, luật, quản trị, tài chính</t>
  </si>
  <si>
    <t>X21</t>
  </si>
  <si>
    <t>Toán, Địa lí, GDKT&amp;PL</t>
  </si>
  <si>
    <t>Kinh tế, luật, du lịch, quản lý nhà nước</t>
  </si>
  <si>
    <t>X05/A10</t>
  </si>
  <si>
    <t>Toán, Vật lí, GDKT&amp;PL</t>
  </si>
  <si>
    <t>Kỹ thuật – quản lý, kinh tế kỹ thuật</t>
  </si>
  <si>
    <t>X09/A11</t>
  </si>
  <si>
    <t>Toán, Hóa học, GDKT&amp;PL</t>
  </si>
  <si>
    <t>Kinh tế, công nghệ thực phẩm, môi trường</t>
  </si>
  <si>
    <t>X22</t>
  </si>
  <si>
    <t>Toán, Địa lí, Tin học</t>
  </si>
  <si>
    <t>Logistics, địa lý, du lịch số, kinh tế số</t>
  </si>
  <si>
    <t>X23/X24</t>
  </si>
  <si>
    <t>Toán, Địa lí, Công nghệ</t>
  </si>
  <si>
    <t>Công nghệ, nông nghiệp, quy hoạch, tài nguyên</t>
  </si>
  <si>
    <t>Khối V/H – kiến trúc, mỹ thuật, thiết kế</t>
  </si>
  <si>
    <t>V00</t>
  </si>
  <si>
    <t>Toán, Vật lí, Vẽ mỹ thuật</t>
  </si>
  <si>
    <t>Kiến trúc, quy hoạch, thiết kế nội thất</t>
  </si>
  <si>
    <t>V01</t>
  </si>
  <si>
    <t>Toán, Ngữ văn, Vẽ mỹ thuật</t>
  </si>
  <si>
    <t>Kiến trúc, mỹ thuật ứng dụng</t>
  </si>
  <si>
    <t>V02</t>
  </si>
  <si>
    <t>Toán, Tiếng Anh, Vẽ mỹ thuật</t>
  </si>
  <si>
    <t>Kiến trúc, thiết kế, quy hoạch</t>
  </si>
  <si>
    <t>H00</t>
  </si>
  <si>
    <t>Ngữ văn, Năng khiếu vẽ 1, Năng khiếu vẽ 2</t>
  </si>
  <si>
    <t>Mỹ thuật, thiết kế đồ họa, thời trang</t>
  </si>
  <si>
    <t>H01</t>
  </si>
  <si>
    <t>Thiết kế, mỹ thuật ứng dụng</t>
  </si>
  <si>
    <t>H06</t>
  </si>
  <si>
    <t>Ngữ văn, Tiếng Anh, Vẽ mỹ thuật</t>
  </si>
  <si>
    <t>Thiết kế, truyền thông thị giác</t>
  </si>
  <si>
    <t>Khối M/N/S/T – năng khiếu</t>
  </si>
  <si>
    <t>M00</t>
  </si>
  <si>
    <t>Ngữ văn, Toán, Đọc diễn cảm/Hát</t>
  </si>
  <si>
    <t>Giáo dục mầm non</t>
  </si>
  <si>
    <t>M01, M09</t>
  </si>
  <si>
    <t>Văn/Toán + năng khiếu</t>
  </si>
  <si>
    <t>Giáo dục mầm non, giáo dục tiểu học một số trường</t>
  </si>
  <si>
    <t>N00, N01</t>
  </si>
  <si>
    <t>Ngữ văn + năng khiếu âm nhạc</t>
  </si>
  <si>
    <t>Âm nhạc, sư phạm âm nhạc</t>
  </si>
  <si>
    <t>S00</t>
  </si>
  <si>
    <t>Ngữ văn + năng khiếu sân khấu/điện ảnh</t>
  </si>
  <si>
    <t>Sân khấu, điện ảnh, diễn viên, đạo diễn</t>
  </si>
  <si>
    <t>T00, T01, T03, T04</t>
  </si>
  <si>
    <t>Toán/Văn/Sinh/Lý + năng khiếu TDTT</t>
  </si>
  <si>
    <t>Giáo dục thể chất, huấn luyện thể thao</t>
  </si>
  <si>
    <t>Mức</t>
  </si>
  <si>
    <t>Khuyến nghị</t>
  </si>
  <si>
    <t>Rất đam mê</t>
  </si>
  <si>
    <t>Mức 4</t>
  </si>
  <si>
    <t>I. THANG ĐÁNH GIÁ NĂNG LỰC HỌC TẬP – Y</t>
  </si>
  <si>
    <t>Khoảng điểm Y</t>
  </si>
  <si>
    <t>Tiêu đề mức năng lực</t>
  </si>
  <si>
    <t>Mức 10</t>
  </si>
  <si>
    <t>9,5 ≤ Y ≤ 10,0</t>
  </si>
  <si>
    <t>Năng lực vượt trội</t>
  </si>
  <si>
    <t>Rất phù hợp; ưu tiên lựa chọn môn hoặc tổ hợp này.</t>
  </si>
  <si>
    <t>Mức 9</t>
  </si>
  <si>
    <t>9,0 ≤ Y &lt; 9,5</t>
  </si>
  <si>
    <t>Năng lực xuất sắc</t>
  </si>
  <si>
    <t>Phù hợp cao; khuyến khích lựa chọn môn hoặc tổ hợp này.</t>
  </si>
  <si>
    <t>Mức 8</t>
  </si>
  <si>
    <t>8,5 ≤ Y &lt; 9,0</t>
  </si>
  <si>
    <t>Năng lực rất tốt</t>
  </si>
  <si>
    <t>Có nền tảng vững chắc; khuyến khích lựa chọn.</t>
  </si>
  <si>
    <t>Mức 7</t>
  </si>
  <si>
    <t>8,0 ≤ Y &lt; 8,5</t>
  </si>
  <si>
    <t>Năng lực tốt</t>
  </si>
  <si>
    <t>Phù hợp; có khả năng phát triển tốt nếu tiếp tục đầu tư.</t>
  </si>
  <si>
    <t>Mức 6</t>
  </si>
  <si>
    <t>7,5 ≤ Y &lt; 8,0</t>
  </si>
  <si>
    <t>Năng lực khá tốt</t>
  </si>
  <si>
    <t>Có thể lựa chọn, nhưng cần tiếp tục củng cố kiến thức và kỹ năng.</t>
  </si>
  <si>
    <t>Mức 5</t>
  </si>
  <si>
    <t>7,0 ≤ Y &lt; 7,5</t>
  </si>
  <si>
    <t>Năng lực khá</t>
  </si>
  <si>
    <t>Có thể cân nhắc lựa chọn; cần xây dựng kế hoạch cải thiện rõ ràng.</t>
  </si>
  <si>
    <t>6,5 ≤ Y &lt; 7,0</t>
  </si>
  <si>
    <t>Năng lực trung bình khá</t>
  </si>
  <si>
    <t>Cần cân nhắc kỹ, đánh giá thêm mức độ đam mê và khả năng tiến bộ.</t>
  </si>
  <si>
    <t>Mức 3</t>
  </si>
  <si>
    <t>6,0 ≤ Y &lt; 6,5</t>
  </si>
  <si>
    <t>Năng lực trung bình</t>
  </si>
  <si>
    <t>Chưa nên ưu tiên; chỉ lựa chọn khi có đam mê cao và quyết tâm cải thiện.</t>
  </si>
  <si>
    <t>Mức 2</t>
  </si>
  <si>
    <t>5,0 ≤ Y &lt; 6,0</t>
  </si>
  <si>
    <t>Năng lực còn hạn chế</t>
  </si>
  <si>
    <t>Không nên lựa chọn làm tổ hợp hoặc định hướng chính.</t>
  </si>
  <si>
    <t>Mức 1</t>
  </si>
  <si>
    <t>Y &lt; 5,0</t>
  </si>
  <si>
    <t>Năng lực chưa đáp ứng</t>
  </si>
  <si>
    <t>Nên loại khỏi nhóm ưu tiên, trừ trường hợp có kế hoạch bồi dưỡng đặc biệt.</t>
  </si>
  <si>
    <r>
      <t>Y</t>
    </r>
    <r>
      <rPr>
        <sz val="11"/>
        <color theme="1"/>
        <rFont val="Calibri"/>
        <family val="2"/>
        <scheme val="minor"/>
      </rPr>
      <t xml:space="preserve"> là điểm đánh giá năng lực học tập đối với từng môn học, lĩnh vực hoặc tổ hợp môn.</t>
    </r>
  </si>
  <si>
    <t>II. THANG ĐÁNH GIÁ MỨC ĐỘ ĐAM MÊ – X</t>
  </si>
  <si>
    <t>Tiêu đề mức đam mê</t>
  </si>
  <si>
    <t>Biểu hiện và khuyến nghị</t>
  </si>
  <si>
    <t>Đam mê mãnh liệt</t>
  </si>
  <si>
    <t>Luôn chủ động tìm hiểu, sẵn sàng dành nhiều thời gian và mong muốn gắn bó lâu dài.</t>
  </si>
  <si>
    <t>Có hứng thú sâu sắc, thường xuyên tự học và mong muốn phát triển thành thế mạnh.</t>
  </si>
  <si>
    <t>Đam mê rõ ràng</t>
  </si>
  <si>
    <t>Rất thích, có động lực học tập và chủ động tham gia các hoạt động liên quan.</t>
  </si>
  <si>
    <t>Yêu thích</t>
  </si>
  <si>
    <t>Cảm thấy hứng thú, học tập tích cực và có mong muốn tìm hiểu thêm.</t>
  </si>
  <si>
    <t>Khá yêu thích</t>
  </si>
  <si>
    <t>Có thiện cảm và hứng thú tương đối, nhưng mức độ đầu tư chưa thường xuyên.</t>
  </si>
  <si>
    <t>Có quan tâm</t>
  </si>
  <si>
    <t>Không bài xích, có thể học hoặc thực hiện khi có mục tiêu và sự hướng dẫn.</t>
  </si>
  <si>
    <t>Ít hứng thú</t>
  </si>
  <si>
    <t>Chỉ quan tâm ở mức hạn chế, chưa có động lực tự thân rõ ràng.</t>
  </si>
  <si>
    <t>Không yêu thích</t>
  </si>
  <si>
    <t>Thường thiếu động lực, ít chủ động và dễ mất tập trung khi học hoặc thực hiện.</t>
  </si>
  <si>
    <t>Rất ít hứng thú</t>
  </si>
  <si>
    <t>Cảm thấy miễn cưỡng, khó duy trì sự tập trung và không muốn đầu tư thời gian.</t>
  </si>
  <si>
    <t>Không có đam mê</t>
  </si>
  <si>
    <t>Không hứng thú, có xu hướng né tránh và không mong muốn theo đuổi lâu dài.</t>
  </si>
  <si>
    <r>
      <t>X</t>
    </r>
    <r>
      <rPr>
        <sz val="11"/>
        <color theme="1"/>
        <rFont val="Calibri"/>
        <family val="2"/>
        <scheme val="minor"/>
      </rPr>
      <t xml:space="preserve"> là điểm đánh giá mức độ đam mê, yêu thích hoặc động lực cá nhân đối với từng môn học, lĩnh vực hoặc nghề nghiệp.</t>
    </r>
  </si>
  <si>
    <t>III. GỢI Ý KẾT HỢP NĂNG LỰC VÀ ĐAM MÊ THEO IKIGAI</t>
  </si>
  <si>
    <t>Năng lực Y</t>
  </si>
  <si>
    <t>Đam mê X</t>
  </si>
  <si>
    <t>Nhận định</t>
  </si>
  <si>
    <t>Cao</t>
  </si>
  <si>
    <r>
      <t>Vùng Ikigai ưu tiên</t>
    </r>
    <r>
      <rPr>
        <sz val="11"/>
        <color theme="1"/>
        <rFont val="Calibri"/>
        <family val="2"/>
        <scheme val="minor"/>
      </rPr>
      <t>: phù hợp để lựa chọn tổ hợp môn, ngành học và nghề nghiệp lâu dài.</t>
    </r>
  </si>
  <si>
    <t>Thấp</t>
  </si>
  <si>
    <t>Có khả năng nhưng thiếu động lực; cần cân nhắc khả năng duy trì lâu dài.</t>
  </si>
  <si>
    <t>Có đam mê nhưng năng lực chưa đáp ứng; có thể lựa chọn nếu có kế hoạch bồi dưỡng cụ thể.</t>
  </si>
  <si>
    <t>Không phù hợp; nên loại khỏi nhóm định hướng ưu tiên.</t>
  </si>
  <si>
    <t>Môn lựa chọn</t>
  </si>
  <si>
    <t>Tính chất định hướng</t>
  </si>
  <si>
    <t>Xã hội, kinh tế, du lịch, môi trường, quy hoạch</t>
  </si>
  <si>
    <t>Giáo dục kinh tế và pháp luật</t>
  </si>
  <si>
    <t>Kinh tế, luật, quản lý nhà nước, tài chính, kinh doanh</t>
  </si>
  <si>
    <t>Kỹ thuật, công nghệ, cơ khí, điện – điện tử, CNTT</t>
  </si>
  <si>
    <t>Y dược, công nghệ sinh học, môi trường, thực phẩm, kỹ thuật hóa</t>
  </si>
  <si>
    <t>Y khoa, dược, điều dưỡng, sinh học, nông nghiệp, môi trường</t>
  </si>
  <si>
    <t>Công nghệ</t>
  </si>
  <si>
    <t>Kỹ thuật, thiết kế, sản xuất, nông nghiệp/công nghiệp ứng dụng</t>
  </si>
  <si>
    <t>CNTT, dữ liệu, AI, kinh tế số, thương mại điện tử</t>
  </si>
  <si>
    <t>Âm nhạc</t>
  </si>
  <si>
    <t>Nghệ thuật, sư phạm âm nhạc, truyền thông sáng tạo</t>
  </si>
  <si>
    <t>Mĩ thuật</t>
  </si>
  <si>
    <t>Thiết kế, kiến trúc, mỹ thuật ứng dụng, truyền thông đa phương tiện</t>
  </si>
  <si>
    <t>IV. Định hướng lựa chọn môn học</t>
  </si>
  <si>
    <t>Trung học thực hành Sài Gòn</t>
  </si>
  <si>
    <t xml:space="preserve">Ngành nghề </t>
  </si>
  <si>
    <t>Dự kiến ĐK NV1 2027</t>
  </si>
  <si>
    <t>Chỉ tiêu Dự kiến 2027</t>
  </si>
  <si>
    <t>Tỷ lệ chọi dư kiên 2027</t>
  </si>
  <si>
    <t>r (Thành phố) 2027</t>
  </si>
  <si>
    <t>Thứ hạng năm 2024</t>
  </si>
  <si>
    <t>Thứ hạng năm 2025</t>
  </si>
  <si>
    <t>Thứ hạng năm 2026</t>
  </si>
  <si>
    <t>Thứ hạng WMA</t>
  </si>
  <si>
    <t>Denta Hạng</t>
  </si>
  <si>
    <t>Nhóm số Top - Anpha</t>
  </si>
  <si>
    <t>Denta Rank</t>
  </si>
  <si>
    <t>R trường</t>
  </si>
  <si>
    <t>Denta_ tỷ lệ chọi</t>
  </si>
  <si>
    <t>Hẹ số điều chỉnh tổng hợp bêta</t>
  </si>
  <si>
    <t>Điểm chuẩn dự báo 2027</t>
  </si>
  <si>
    <t>Điểm_WMA</t>
  </si>
  <si>
    <t>Điểm chuẩn 2027</t>
  </si>
  <si>
    <t>Điểm WMA</t>
  </si>
  <si>
    <t>Điểm TB 2025 trường</t>
  </si>
  <si>
    <t>Điểm TB 2024 trường</t>
  </si>
  <si>
    <t>Xu hướng chuyển môn Dneta Dev</t>
  </si>
  <si>
    <t>Điểm TB 2026 trường</t>
  </si>
  <si>
    <t>Hệ số phân hoá môn Denta S</t>
  </si>
  <si>
    <t>Điểm TB môn Toán</t>
  </si>
  <si>
    <t>Điểm TB môn Văn</t>
  </si>
  <si>
    <t>Điểm TB Môn Anh</t>
  </si>
  <si>
    <t>Hs co giãn môn</t>
  </si>
  <si>
    <t>Sai số chuẩn theo môn</t>
  </si>
  <si>
    <t xml:space="preserve">Hệ số rủi ro theo môn </t>
  </si>
  <si>
    <t>Điểm tối thiểu môn</t>
  </si>
  <si>
    <t xml:space="preserve">Điểm tối đa </t>
  </si>
  <si>
    <t xml:space="preserve">Tổng Điểm </t>
  </si>
  <si>
    <t>Giá trị trung bình</t>
  </si>
  <si>
    <t>Độ lệch chuẩn phong độ</t>
  </si>
  <si>
    <t>Dải điểm dự báo</t>
  </si>
  <si>
    <t>Nhập 3 cột điểm TB môn</t>
  </si>
  <si>
    <t>Điểm TB Môn chuyên</t>
  </si>
  <si>
    <t>Cột E: Điểm TB Môn chuyên, đối với môn Sinh, Vật Lý, hoá học thì nhập điểm môn Khoa Học Tự Nhiên; Môn chuyên Địa lý, Lịch sử thì nhập môn Lịch sử - Địa lý</t>
  </si>
  <si>
    <t>Hs co giãn môn thường</t>
  </si>
  <si>
    <t>Sai số chuẩn theo môn thường</t>
  </si>
  <si>
    <t>Hệ số rủi ro theo môn thường</t>
  </si>
  <si>
    <t>Điểm tối thiểu môn thường</t>
  </si>
  <si>
    <t>Điểm tối đa môn thường</t>
  </si>
  <si>
    <t>Điểm trung bình 3 môn</t>
  </si>
  <si>
    <t>SI</t>
  </si>
  <si>
    <t>Delta phân nhóm</t>
  </si>
  <si>
    <t>Điểm môn chuyên kỳ vọng</t>
  </si>
  <si>
    <t>Điểm tối thiểu xét tuyển chuyên</t>
  </si>
  <si>
    <t>Điểm tối đa xét tuyển chuyên</t>
  </si>
  <si>
    <t>Tổng điểm xét tuyển chuyên</t>
  </si>
  <si>
    <t>Tổng 3 mônxét tuyển thường</t>
  </si>
  <si>
    <t>Điểm TB kỳ vọng môn chuyên</t>
  </si>
  <si>
    <t>Độ lệch chuẩn tổng điểm</t>
  </si>
  <si>
    <t xml:space="preserve">Dải điểm dự báo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</si>
</sst>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"/>
    <numFmt numFmtId="171" formatCode="0.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rgb="FFFF0000"/>
      <name val="Carlito"/>
    </font>
    <font>
      <sz val="11"/>
      <color rgb="FFFF0000"/>
      <name val="Carlito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rlito"/>
    </font>
    <font>
      <sz val="11"/>
      <color theme="0"/>
      <name val="Carlito"/>
    </font>
    <font>
      <b/>
      <sz val="11"/>
      <color theme="0"/>
      <name val="Calibri"/>
      <scheme val="minor"/>
    </font>
    <font>
      <b/>
      <sz val="14"/>
      <color rgb="FFFF0000"/>
      <name val="Calibri"/>
      <scheme val="minor"/>
    </font>
    <font>
      <b/>
      <sz val="14"/>
      <color rgb="FFFF0000"/>
      <name val="Carlito"/>
    </font>
    <font>
      <sz val="14"/>
      <color theme="1"/>
      <name val="Calibri"/>
      <scheme val="minor"/>
    </font>
    <font>
      <sz val="14"/>
      <color theme="0"/>
      <name val="Calibri"/>
      <scheme val="minor"/>
    </font>
    <font>
      <sz val="14"/>
      <color rgb="FFFF0000"/>
      <name val="Calibri"/>
      <scheme val="minor"/>
    </font>
    <font>
      <sz val="14"/>
      <color rgb="FFFF6600"/>
      <name val="Calibri"/>
      <scheme val="minor"/>
    </font>
    <font>
      <sz val="14"/>
      <name val="Calibri"/>
      <scheme val="minor"/>
    </font>
    <font>
      <b/>
      <sz val="14"/>
      <color rgb="FFFF66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3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4">
    <xf numFmtId="0" fontId="0" fillId="0" borderId="0" xfId="0"/>
    <xf numFmtId="0" fontId="4" fillId="0" borderId="0" xfId="2" applyAlignment="1">
      <alignment vertical="top" wrapText="1"/>
    </xf>
    <xf numFmtId="2" fontId="4" fillId="0" borderId="0" xfId="2" applyNumberFormat="1" applyAlignment="1">
      <alignment vertical="top" wrapText="1"/>
    </xf>
    <xf numFmtId="1" fontId="4" fillId="0" borderId="0" xfId="2" applyNumberFormat="1" applyAlignment="1">
      <alignment vertical="top" wrapText="1"/>
    </xf>
    <xf numFmtId="0" fontId="5" fillId="2" borderId="0" xfId="2" applyFont="1" applyFill="1" applyAlignment="1">
      <alignment horizontal="center" vertical="top" wrapText="1"/>
    </xf>
    <xf numFmtId="1" fontId="4" fillId="0" borderId="0" xfId="2" applyNumberFormat="1" applyAlignment="1">
      <alignment vertical="top"/>
    </xf>
    <xf numFmtId="2" fontId="4" fillId="0" borderId="0" xfId="2" applyNumberFormat="1" applyAlignment="1">
      <alignment vertical="top"/>
    </xf>
    <xf numFmtId="0" fontId="6" fillId="2" borderId="0" xfId="2" applyFont="1" applyFill="1" applyAlignment="1">
      <alignment horizontal="center" vertical="top" wrapText="1"/>
    </xf>
    <xf numFmtId="0" fontId="8" fillId="0" borderId="0" xfId="0" applyFont="1"/>
    <xf numFmtId="0" fontId="6" fillId="3" borderId="0" xfId="2" applyFont="1" applyFill="1" applyAlignment="1">
      <alignment vertical="top" wrapText="1"/>
    </xf>
    <xf numFmtId="2" fontId="6" fillId="3" borderId="0" xfId="2" applyNumberFormat="1" applyFont="1" applyFill="1" applyAlignment="1">
      <alignment vertical="top" wrapText="1"/>
    </xf>
    <xf numFmtId="1" fontId="6" fillId="3" borderId="0" xfId="2" applyNumberFormat="1" applyFont="1" applyFill="1" applyAlignment="1">
      <alignment vertical="top"/>
    </xf>
    <xf numFmtId="2" fontId="6" fillId="3" borderId="0" xfId="2" applyNumberFormat="1" applyFont="1" applyFill="1" applyAlignment="1">
      <alignment vertical="top"/>
    </xf>
    <xf numFmtId="0" fontId="9" fillId="3" borderId="0" xfId="0" applyFont="1" applyFill="1"/>
    <xf numFmtId="0" fontId="7" fillId="3" borderId="0" xfId="2" applyFont="1" applyFill="1" applyAlignment="1">
      <alignment vertical="top" wrapText="1"/>
    </xf>
    <xf numFmtId="2" fontId="7" fillId="3" borderId="0" xfId="2" applyNumberFormat="1" applyFont="1" applyFill="1" applyAlignment="1">
      <alignment vertical="top" wrapText="1"/>
    </xf>
    <xf numFmtId="1" fontId="7" fillId="3" borderId="0" xfId="2" applyNumberFormat="1" applyFont="1" applyFill="1" applyAlignment="1">
      <alignment vertical="top"/>
    </xf>
    <xf numFmtId="2" fontId="7" fillId="3" borderId="0" xfId="2" applyNumberFormat="1" applyFont="1" applyFill="1" applyAlignment="1">
      <alignment vertical="top"/>
    </xf>
    <xf numFmtId="0" fontId="2" fillId="3" borderId="0" xfId="0" applyFont="1" applyFill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3" fillId="0" borderId="0" xfId="0" applyFont="1"/>
    <xf numFmtId="165" fontId="3" fillId="0" borderId="0" xfId="1" applyNumberFormat="1" applyFont="1"/>
    <xf numFmtId="2" fontId="3" fillId="0" borderId="0" xfId="0" applyNumberFormat="1" applyFont="1"/>
    <xf numFmtId="2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11" fillId="0" borderId="0" xfId="0" applyFont="1" applyAlignment="1">
      <alignment horizontal="justify" vertical="center" wrapText="1"/>
    </xf>
    <xf numFmtId="0" fontId="12" fillId="0" borderId="0" xfId="0" applyFont="1" applyAlignment="1">
      <alignment horizontal="justify" vertical="center" wrapText="1"/>
    </xf>
    <xf numFmtId="0" fontId="10" fillId="0" borderId="0" xfId="0" applyFont="1" applyAlignment="1">
      <alignment vertical="center" wrapText="1"/>
    </xf>
    <xf numFmtId="0" fontId="0" fillId="3" borderId="0" xfId="0" applyFill="1"/>
    <xf numFmtId="0" fontId="1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0" xfId="2" applyFill="1" applyAlignment="1">
      <alignment vertical="top" wrapText="1"/>
    </xf>
    <xf numFmtId="2" fontId="4" fillId="3" borderId="0" xfId="2" applyNumberFormat="1" applyFill="1" applyAlignment="1">
      <alignment vertical="top" wrapText="1"/>
    </xf>
    <xf numFmtId="1" fontId="4" fillId="3" borderId="0" xfId="2" applyNumberFormat="1" applyFill="1" applyAlignment="1">
      <alignment vertical="top"/>
    </xf>
    <xf numFmtId="2" fontId="4" fillId="3" borderId="0" xfId="2" applyNumberFormat="1" applyFill="1" applyAlignment="1">
      <alignment vertical="top"/>
    </xf>
    <xf numFmtId="0" fontId="8" fillId="3" borderId="0" xfId="0" applyFont="1" applyFill="1"/>
    <xf numFmtId="0" fontId="4" fillId="0" borderId="0" xfId="2" applyFont="1" applyAlignment="1">
      <alignment vertical="top" wrapText="1"/>
    </xf>
    <xf numFmtId="2" fontId="4" fillId="0" borderId="0" xfId="2" applyNumberFormat="1" applyFont="1" applyAlignment="1">
      <alignment vertical="top" wrapText="1"/>
    </xf>
    <xf numFmtId="2" fontId="8" fillId="0" borderId="0" xfId="0" applyNumberFormat="1" applyFont="1" applyAlignment="1">
      <alignment horizontal="right" vertical="center" wrapText="1"/>
    </xf>
    <xf numFmtId="1" fontId="4" fillId="0" borderId="0" xfId="2" applyNumberFormat="1" applyFont="1" applyAlignment="1">
      <alignment vertical="top"/>
    </xf>
    <xf numFmtId="2" fontId="4" fillId="0" borderId="0" xfId="2" applyNumberFormat="1" applyFont="1" applyAlignment="1">
      <alignment vertical="top"/>
    </xf>
    <xf numFmtId="0" fontId="15" fillId="0" borderId="0" xfId="0" applyFont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16" fillId="0" borderId="0" xfId="0" applyFont="1" applyAlignment="1">
      <alignment horizontal="left" vertical="center" wrapText="1"/>
    </xf>
    <xf numFmtId="2" fontId="3" fillId="0" borderId="0" xfId="0" applyNumberFormat="1" applyFont="1" applyAlignment="1">
      <alignment horizontal="right" vertical="center" wrapText="1"/>
    </xf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1" fontId="3" fillId="0" borderId="0" xfId="0" applyNumberFormat="1" applyFont="1" applyAlignment="1">
      <alignment horizontal="right" vertical="center" wrapText="1"/>
    </xf>
    <xf numFmtId="171" fontId="0" fillId="0" borderId="0" xfId="0" applyNumberFormat="1"/>
    <xf numFmtId="1" fontId="7" fillId="0" borderId="0" xfId="2" applyNumberFormat="1" applyFont="1" applyAlignment="1">
      <alignment vertical="top"/>
    </xf>
    <xf numFmtId="2" fontId="2" fillId="0" borderId="0" xfId="0" applyNumberFormat="1" applyFont="1"/>
    <xf numFmtId="0" fontId="2" fillId="0" borderId="0" xfId="0" applyFont="1"/>
    <xf numFmtId="41" fontId="9" fillId="0" borderId="0" xfId="3" applyFont="1"/>
    <xf numFmtId="2" fontId="9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9" fillId="0" borderId="0" xfId="0" applyFont="1"/>
    <xf numFmtId="0" fontId="3" fillId="0" borderId="0" xfId="0" applyFont="1" applyAlignment="1">
      <alignment horizontal="center"/>
    </xf>
    <xf numFmtId="0" fontId="16" fillId="0" borderId="0" xfId="0" applyFont="1"/>
    <xf numFmtId="43" fontId="3" fillId="0" borderId="0" xfId="0" applyNumberFormat="1" applyFont="1" applyAlignment="1">
      <alignment horizontal="right" vertical="center" wrapText="1"/>
    </xf>
    <xf numFmtId="0" fontId="19" fillId="2" borderId="0" xfId="2" applyFont="1" applyFill="1" applyAlignment="1">
      <alignment horizontal="center" vertical="top" wrapText="1"/>
    </xf>
    <xf numFmtId="43" fontId="3" fillId="0" borderId="0" xfId="0" applyNumberFormat="1" applyFont="1"/>
    <xf numFmtId="0" fontId="20" fillId="2" borderId="0" xfId="2" applyFont="1" applyFill="1" applyAlignment="1">
      <alignment horizontal="center" vertical="top" wrapText="1"/>
    </xf>
    <xf numFmtId="0" fontId="21" fillId="5" borderId="0" xfId="0" applyFont="1" applyFill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66" fontId="3" fillId="0" borderId="0" xfId="0" applyNumberFormat="1" applyFont="1"/>
    <xf numFmtId="1" fontId="2" fillId="0" borderId="0" xfId="0" applyNumberFormat="1" applyFont="1" applyAlignment="1">
      <alignment horizontal="right" vertical="center" wrapText="1"/>
    </xf>
    <xf numFmtId="0" fontId="22" fillId="5" borderId="0" xfId="0" applyFont="1" applyFill="1" applyAlignment="1">
      <alignment horizontal="right" vertical="center" wrapText="1"/>
    </xf>
    <xf numFmtId="0" fontId="22" fillId="0" borderId="0" xfId="0" applyFont="1"/>
    <xf numFmtId="0" fontId="23" fillId="2" borderId="0" xfId="2" applyFont="1" applyFill="1" applyAlignment="1">
      <alignment horizontal="center" vertical="top" wrapText="1"/>
    </xf>
    <xf numFmtId="0" fontId="19" fillId="5" borderId="0" xfId="2" applyFont="1" applyFill="1" applyAlignment="1">
      <alignment horizontal="center" vertical="top" wrapText="1"/>
    </xf>
    <xf numFmtId="1" fontId="2" fillId="5" borderId="0" xfId="0" applyNumberFormat="1" applyFont="1" applyFill="1"/>
    <xf numFmtId="0" fontId="9" fillId="5" borderId="0" xfId="0" applyFont="1" applyFill="1"/>
    <xf numFmtId="0" fontId="2" fillId="5" borderId="0" xfId="0" applyFont="1" applyFill="1"/>
    <xf numFmtId="2" fontId="4" fillId="5" borderId="0" xfId="2" applyNumberFormat="1" applyFill="1" applyAlignment="1">
      <alignment vertical="top" wrapText="1"/>
    </xf>
    <xf numFmtId="0" fontId="22" fillId="4" borderId="0" xfId="0" applyFont="1" applyFill="1"/>
    <xf numFmtId="0" fontId="22" fillId="5" borderId="0" xfId="0" applyFont="1" applyFill="1"/>
    <xf numFmtId="0" fontId="24" fillId="0" borderId="0" xfId="0" applyFont="1"/>
    <xf numFmtId="0" fontId="25" fillId="5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2" fillId="3" borderId="0" xfId="0" applyFont="1" applyFill="1"/>
    <xf numFmtId="0" fontId="28" fillId="0" borderId="0" xfId="0" applyFont="1"/>
    <xf numFmtId="0" fontId="26" fillId="3" borderId="0" xfId="0" applyFont="1" applyFill="1"/>
    <xf numFmtId="2" fontId="28" fillId="0" borderId="0" xfId="0" applyNumberFormat="1" applyFont="1"/>
    <xf numFmtId="2" fontId="22" fillId="0" borderId="0" xfId="0" applyNumberFormat="1" applyFont="1"/>
    <xf numFmtId="2" fontId="29" fillId="0" borderId="0" xfId="0" applyNumberFormat="1" applyFont="1"/>
    <xf numFmtId="0" fontId="29" fillId="0" borderId="0" xfId="0" applyFont="1"/>
    <xf numFmtId="0" fontId="26" fillId="0" borderId="0" xfId="0" applyFont="1"/>
    <xf numFmtId="2" fontId="24" fillId="0" borderId="0" xfId="0" applyNumberFormat="1" applyFont="1"/>
    <xf numFmtId="2" fontId="29" fillId="3" borderId="0" xfId="0" applyNumberFormat="1" applyFont="1" applyFill="1"/>
    <xf numFmtId="2" fontId="22" fillId="3" borderId="0" xfId="0" applyNumberFormat="1" applyFont="1" applyFill="1"/>
  </cellXfs>
  <cellStyles count="134">
    <cellStyle name="Comma" xfId="1" builtinId="3"/>
    <cellStyle name="Comma [0]" xfId="3" builtinId="6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3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AB2" sqref="AB2"/>
    </sheetView>
  </sheetViews>
  <sheetFormatPr baseColWidth="10" defaultColWidth="8.83203125" defaultRowHeight="18" x14ac:dyDescent="0"/>
  <cols>
    <col min="3" max="3" width="24" customWidth="1"/>
    <col min="8" max="8" width="12.5" customWidth="1"/>
    <col min="9" max="9" width="11.5" customWidth="1"/>
    <col min="10" max="10" width="8.83203125" customWidth="1"/>
    <col min="11" max="12" width="10.5" customWidth="1"/>
    <col min="13" max="13" width="8.83203125" customWidth="1"/>
    <col min="14" max="15" width="11.5" customWidth="1"/>
    <col min="16" max="16" width="8.83203125" customWidth="1"/>
    <col min="17" max="17" width="9.1640625" style="64" customWidth="1"/>
    <col min="18" max="18" width="8.83203125" style="85" customWidth="1"/>
    <col min="19" max="19" width="11" style="64" customWidth="1"/>
    <col min="20" max="20" width="9.5" customWidth="1"/>
    <col min="21" max="29" width="8.83203125" customWidth="1"/>
    <col min="30" max="30" width="11.33203125" hidden="1" customWidth="1"/>
    <col min="31" max="31" width="8.83203125" hidden="1" customWidth="1"/>
    <col min="32" max="32" width="11.83203125" style="80" customWidth="1"/>
  </cols>
  <sheetData>
    <row r="1" spans="1:32" ht="75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72" t="s">
        <v>440</v>
      </c>
      <c r="R1" s="82" t="s">
        <v>439</v>
      </c>
      <c r="S1" s="72" t="s">
        <v>441</v>
      </c>
      <c r="T1" s="74" t="s">
        <v>442</v>
      </c>
      <c r="U1" s="72" t="s">
        <v>443</v>
      </c>
      <c r="V1" s="72" t="s">
        <v>444</v>
      </c>
      <c r="W1" s="72" t="s">
        <v>445</v>
      </c>
      <c r="X1" s="72" t="s">
        <v>446</v>
      </c>
      <c r="Y1" s="72" t="s">
        <v>448</v>
      </c>
      <c r="Z1" s="72" t="s">
        <v>447</v>
      </c>
      <c r="AA1" s="72" t="s">
        <v>449</v>
      </c>
      <c r="AB1" s="74" t="s">
        <v>451</v>
      </c>
      <c r="AC1" s="74" t="s">
        <v>450</v>
      </c>
      <c r="AD1" s="74" t="s">
        <v>452</v>
      </c>
      <c r="AE1" s="74" t="s">
        <v>454</v>
      </c>
      <c r="AF1" s="81" t="s">
        <v>455</v>
      </c>
    </row>
    <row r="2" spans="1:32" ht="30">
      <c r="A2" s="3">
        <v>1</v>
      </c>
      <c r="B2" s="1" t="s">
        <v>16</v>
      </c>
      <c r="C2" s="1" t="s">
        <v>17</v>
      </c>
      <c r="D2" s="2">
        <v>21</v>
      </c>
      <c r="E2" s="2">
        <v>21</v>
      </c>
      <c r="F2" s="2">
        <v>20.25</v>
      </c>
      <c r="G2" s="2">
        <v>21.75</v>
      </c>
      <c r="H2" s="5">
        <v>810</v>
      </c>
      <c r="I2" s="5">
        <v>1569</v>
      </c>
      <c r="J2" s="6">
        <v>1.9370370370370371</v>
      </c>
      <c r="K2" s="5">
        <v>675</v>
      </c>
      <c r="L2" s="5">
        <v>986</v>
      </c>
      <c r="M2" s="6">
        <v>1.4607407407407407</v>
      </c>
      <c r="N2" s="5">
        <v>900</v>
      </c>
      <c r="O2" s="5">
        <v>1191</v>
      </c>
      <c r="P2" s="6">
        <v>1.3233333333333333</v>
      </c>
      <c r="Q2" s="62">
        <f>N2</f>
        <v>900</v>
      </c>
      <c r="R2" s="83">
        <f>O2*1.04</f>
        <v>1238.6400000000001</v>
      </c>
      <c r="S2" s="63">
        <f>R2/Q2</f>
        <v>1.3762666666666667</v>
      </c>
      <c r="T2">
        <f>(R2-O2)/O2</f>
        <v>4.0000000000000084E-2</v>
      </c>
      <c r="U2">
        <f>IF(E2=" "," ",1+SUMPRODUCT(($E$2:$E$171&gt;E2)/COUNTIF($E$2:$E$171,$E$2:$E$171)))</f>
        <v>9</v>
      </c>
      <c r="V2">
        <f>IF(F2=" "," ",1+SUMPRODUCT(($F$2:$F$171&gt;F2)/COUNTIF($F$2:$F$171,$F$2:$F$171)))</f>
        <v>14</v>
      </c>
      <c r="W2">
        <f>IF(G2=" "," ",1+SUMPRODUCT(($G$2:$G$171&gt;G2)/COUNTIF($G$2:$G$171,$G$2:$G$171)))</f>
        <v>13.000000000000002</v>
      </c>
      <c r="X2">
        <f>(W2*0.5)+(V2*0.3)+(U2*0.2)</f>
        <v>12.500000000000002</v>
      </c>
      <c r="Y2">
        <f t="shared" ref="Y2:Y66" si="0">IF(X2&lt;=10, 0.002, IF(X2&lt;=20, 0.003, IF(X2&lt;=30, 0.004, 0.005)))</f>
        <v>3.0000000000000001E-3</v>
      </c>
      <c r="Z2">
        <f>U2-W2</f>
        <v>-4.0000000000000018</v>
      </c>
      <c r="AA2">
        <f>IF(Z2&gt;=5, Y2, IF(Z2&gt;=2, Y2/2, IF(T2&lt;=-2, -Z2/2, 0)))</f>
        <v>0</v>
      </c>
      <c r="AB2">
        <f>((P2-M2)/M2)*IF(X2&lt;=10, 0.015, IF(X2&lt;=20, 0.06, IF(X2&lt;=30, 0.05, 0.05)))</f>
        <v>-5.6440162271805278E-3</v>
      </c>
      <c r="AC2">
        <f>AA2+AB2</f>
        <v>-5.6440162271805278E-3</v>
      </c>
      <c r="AD2">
        <f>1+T2+AC2</f>
        <v>1.0343559837728196</v>
      </c>
      <c r="AE2">
        <f>(G2*0.5)+(F2*0.3)+(E2*0.2)</f>
        <v>21.15</v>
      </c>
      <c r="AF2" s="80">
        <f>ROUND(AE2*AD2,2)</f>
        <v>21.88</v>
      </c>
    </row>
    <row r="3" spans="1:32" ht="30">
      <c r="A3" s="3">
        <v>2</v>
      </c>
      <c r="B3" s="1" t="s">
        <v>16</v>
      </c>
      <c r="C3" s="1" t="s">
        <v>18</v>
      </c>
      <c r="D3" s="2">
        <v>22.25</v>
      </c>
      <c r="E3" s="2">
        <v>22.25</v>
      </c>
      <c r="F3" s="2">
        <v>22.25</v>
      </c>
      <c r="G3" s="2">
        <v>24.25</v>
      </c>
      <c r="H3" s="5">
        <v>765</v>
      </c>
      <c r="I3" s="5">
        <v>1482</v>
      </c>
      <c r="J3" s="6">
        <v>1.9372549019607843</v>
      </c>
      <c r="K3" s="5">
        <v>630</v>
      </c>
      <c r="L3" s="5">
        <v>975</v>
      </c>
      <c r="M3" s="6">
        <v>1.5476190476190477</v>
      </c>
      <c r="N3" s="5">
        <v>630</v>
      </c>
      <c r="O3" s="5">
        <v>1787</v>
      </c>
      <c r="P3" s="6">
        <v>2.8365079365079366</v>
      </c>
      <c r="Q3" s="62">
        <f>N3</f>
        <v>630</v>
      </c>
      <c r="R3" s="83">
        <f t="shared" ref="R3:R66" si="1">O3*1.04</f>
        <v>1858.48</v>
      </c>
      <c r="S3" s="63">
        <f>R3/Q3</f>
        <v>2.9499682539682541</v>
      </c>
      <c r="T3">
        <f>(R3-O3)/O3</f>
        <v>4.0000000000000008E-2</v>
      </c>
      <c r="U3">
        <f t="shared" ref="U3:U66" si="2">IF(E3=" "," ",1+SUMPRODUCT(($E$2:$E$171&gt;E3)/COUNTIF($E$2:$E$171,$E$2:$E$171)))</f>
        <v>7</v>
      </c>
      <c r="V3">
        <f t="shared" ref="V3:V66" si="3">IF(F3=" "," ",1+SUMPRODUCT(($F$2:$F$171&gt;F3)/COUNTIF($F$2:$F$171,$F$2:$F$171)))</f>
        <v>7</v>
      </c>
      <c r="W3">
        <f t="shared" ref="W3:W66" si="4">IF(G3=" "," ",1+SUMPRODUCT(($G$2:$G$171&gt;G3)/COUNTIF($G$2:$G$171,$G$2:$G$171)))</f>
        <v>3</v>
      </c>
      <c r="X3">
        <f t="shared" ref="X3:X66" si="5">(W3*0.5)+(V3*0.3)+(U3*0.2)</f>
        <v>5</v>
      </c>
      <c r="Y3">
        <f t="shared" si="0"/>
        <v>2E-3</v>
      </c>
      <c r="Z3">
        <f t="shared" ref="Z3:Z66" si="6">U3-W3</f>
        <v>4</v>
      </c>
      <c r="AA3">
        <f t="shared" ref="AA3:AA66" si="7">IF(Z3&gt;=5, Y3, IF(Z3&gt;=2, Y3/2, IF(T3&lt;=-2, -Z3/2, 0)))</f>
        <v>1E-3</v>
      </c>
      <c r="AB3">
        <f t="shared" ref="AB3:AB66" si="8">((P3-M3)/M3)*IF(X3&lt;=10, 0.015, IF(X3&lt;=20, 0.06, IF(X3&lt;=30, 0.05, 0.05)))</f>
        <v>1.2492307692307691E-2</v>
      </c>
      <c r="AC3">
        <f t="shared" ref="AC3:AC66" si="9">AA3+AB3</f>
        <v>1.3492307692307692E-2</v>
      </c>
      <c r="AD3">
        <f t="shared" ref="AD3:AD66" si="10">1+T3+AC3</f>
        <v>1.0534923076923077</v>
      </c>
      <c r="AE3">
        <f t="shared" ref="AE3:AE66" si="11">(G3*0.5)+(F3*0.3)+(E3*0.2)</f>
        <v>23.25</v>
      </c>
      <c r="AF3" s="80">
        <f>ROUND(AE3*AD3,2)</f>
        <v>24.49</v>
      </c>
    </row>
    <row r="4" spans="1:32" ht="30">
      <c r="A4" s="3">
        <v>3</v>
      </c>
      <c r="B4" s="1" t="s">
        <v>16</v>
      </c>
      <c r="C4" s="1" t="s">
        <v>19</v>
      </c>
      <c r="D4" s="2">
        <v>18.25</v>
      </c>
      <c r="E4" s="2">
        <v>18.25</v>
      </c>
      <c r="F4" s="2">
        <v>18</v>
      </c>
      <c r="G4" s="2">
        <v>20.5</v>
      </c>
      <c r="H4" s="5">
        <v>630</v>
      </c>
      <c r="I4" s="5">
        <v>807</v>
      </c>
      <c r="J4" s="6">
        <v>1.2809523809523808</v>
      </c>
      <c r="K4" s="5">
        <v>540</v>
      </c>
      <c r="L4" s="5">
        <v>580</v>
      </c>
      <c r="M4" s="6">
        <v>1.0740740740740742</v>
      </c>
      <c r="N4" s="5">
        <v>585</v>
      </c>
      <c r="O4" s="5">
        <v>781</v>
      </c>
      <c r="P4" s="6">
        <v>1.335042735042735</v>
      </c>
      <c r="Q4" s="62">
        <f>N4</f>
        <v>585</v>
      </c>
      <c r="R4" s="83">
        <f t="shared" si="1"/>
        <v>812.24</v>
      </c>
      <c r="S4" s="63">
        <f>R4/Q4</f>
        <v>1.3884444444444444</v>
      </c>
      <c r="T4">
        <f>(R4-O4)/O4</f>
        <v>4.0000000000000015E-2</v>
      </c>
      <c r="U4">
        <f t="shared" si="2"/>
        <v>22</v>
      </c>
      <c r="V4">
        <f t="shared" si="3"/>
        <v>26</v>
      </c>
      <c r="W4">
        <f t="shared" si="4"/>
        <v>18</v>
      </c>
      <c r="X4">
        <f t="shared" si="5"/>
        <v>21.200000000000003</v>
      </c>
      <c r="Y4">
        <f t="shared" si="0"/>
        <v>4.0000000000000001E-3</v>
      </c>
      <c r="Z4">
        <f t="shared" si="6"/>
        <v>4</v>
      </c>
      <c r="AA4">
        <f t="shared" si="7"/>
        <v>2E-3</v>
      </c>
      <c r="AB4">
        <f t="shared" si="8"/>
        <v>1.2148541114058345E-2</v>
      </c>
      <c r="AC4">
        <f t="shared" si="9"/>
        <v>1.4148541114058345E-2</v>
      </c>
      <c r="AD4">
        <f t="shared" si="10"/>
        <v>1.0541485411140583</v>
      </c>
      <c r="AE4">
        <f t="shared" si="11"/>
        <v>19.299999999999997</v>
      </c>
      <c r="AF4" s="80">
        <f t="shared" ref="AF3:AF66" si="12">ROUND(AE4*AD4,2)</f>
        <v>20.350000000000001</v>
      </c>
    </row>
    <row r="5" spans="1:32" s="8" customFormat="1" ht="30">
      <c r="A5" s="3">
        <v>4</v>
      </c>
      <c r="B5" s="1" t="s">
        <v>16</v>
      </c>
      <c r="C5" s="1" t="s">
        <v>20</v>
      </c>
      <c r="D5" s="2">
        <v>13</v>
      </c>
      <c r="E5" s="2">
        <v>13</v>
      </c>
      <c r="F5" s="2">
        <v>11.75</v>
      </c>
      <c r="G5" s="2">
        <v>14</v>
      </c>
      <c r="H5" s="5">
        <v>255</v>
      </c>
      <c r="I5" s="5">
        <v>137</v>
      </c>
      <c r="J5" s="6">
        <v>0.53725490196078429</v>
      </c>
      <c r="K5" s="5">
        <v>280</v>
      </c>
      <c r="L5" s="5">
        <v>137</v>
      </c>
      <c r="M5" s="6">
        <f>L5/K5</f>
        <v>0.48928571428571427</v>
      </c>
      <c r="N5" s="5">
        <v>280</v>
      </c>
      <c r="O5" s="5">
        <v>104</v>
      </c>
      <c r="P5" s="6">
        <v>0.37142857142857144</v>
      </c>
      <c r="Q5" s="62">
        <f>N5</f>
        <v>280</v>
      </c>
      <c r="R5" s="83">
        <f t="shared" si="1"/>
        <v>108.16</v>
      </c>
      <c r="S5" s="63">
        <f>R5/Q5</f>
        <v>0.38628571428571429</v>
      </c>
      <c r="T5">
        <f>(R5-O5)/O5</f>
        <v>3.9999999999999966E-2</v>
      </c>
      <c r="U5">
        <f t="shared" si="2"/>
        <v>61.000000000000014</v>
      </c>
      <c r="V5">
        <f t="shared" si="3"/>
        <v>68.999999999999986</v>
      </c>
      <c r="W5">
        <f t="shared" si="4"/>
        <v>43.000000000000014</v>
      </c>
      <c r="X5">
        <f t="shared" si="5"/>
        <v>54.400000000000006</v>
      </c>
      <c r="Y5">
        <f t="shared" si="0"/>
        <v>5.0000000000000001E-3</v>
      </c>
      <c r="Z5">
        <f t="shared" si="6"/>
        <v>18</v>
      </c>
      <c r="AA5">
        <f t="shared" si="7"/>
        <v>5.0000000000000001E-3</v>
      </c>
      <c r="AB5">
        <f t="shared" si="8"/>
        <v>-1.2043795620437954E-2</v>
      </c>
      <c r="AC5">
        <f t="shared" si="9"/>
        <v>-7.0437956204379539E-3</v>
      </c>
      <c r="AD5">
        <f t="shared" si="10"/>
        <v>1.0329562043795621</v>
      </c>
      <c r="AE5">
        <f t="shared" si="11"/>
        <v>13.125</v>
      </c>
      <c r="AF5" s="80">
        <f t="shared" si="12"/>
        <v>13.56</v>
      </c>
    </row>
    <row r="6" spans="1:32" ht="30">
      <c r="A6" s="3">
        <v>5</v>
      </c>
      <c r="B6" s="1" t="s">
        <v>16</v>
      </c>
      <c r="C6" s="1" t="s">
        <v>21</v>
      </c>
      <c r="D6" s="2">
        <v>20</v>
      </c>
      <c r="E6" s="2">
        <v>20</v>
      </c>
      <c r="F6" s="2">
        <v>24.5</v>
      </c>
      <c r="G6" s="2">
        <v>24</v>
      </c>
      <c r="H6" s="5">
        <v>455</v>
      </c>
      <c r="I6" s="5">
        <v>376</v>
      </c>
      <c r="J6" s="6">
        <v>0.82637362637362632</v>
      </c>
      <c r="K6" s="5">
        <v>180</v>
      </c>
      <c r="L6" s="5">
        <v>830</v>
      </c>
      <c r="M6" s="6">
        <v>4.6111111111111107</v>
      </c>
      <c r="N6" s="5">
        <v>360</v>
      </c>
      <c r="O6" s="5">
        <v>1004</v>
      </c>
      <c r="P6" s="6">
        <v>2.7888888888888888</v>
      </c>
      <c r="Q6" s="62">
        <f>N6</f>
        <v>360</v>
      </c>
      <c r="R6" s="83">
        <f t="shared" si="1"/>
        <v>1044.1600000000001</v>
      </c>
      <c r="S6" s="63">
        <f>R6/Q6</f>
        <v>2.9004444444444446</v>
      </c>
      <c r="T6">
        <f>(R6-O6)/O6</f>
        <v>4.0000000000000084E-2</v>
      </c>
      <c r="U6">
        <f t="shared" si="2"/>
        <v>14</v>
      </c>
      <c r="V6">
        <f t="shared" si="3"/>
        <v>1</v>
      </c>
      <c r="W6">
        <f t="shared" si="4"/>
        <v>4</v>
      </c>
      <c r="X6">
        <f t="shared" si="5"/>
        <v>5.0999999999999996</v>
      </c>
      <c r="Y6">
        <f t="shared" si="0"/>
        <v>2E-3</v>
      </c>
      <c r="Z6">
        <f t="shared" si="6"/>
        <v>10</v>
      </c>
      <c r="AA6">
        <f t="shared" si="7"/>
        <v>2E-3</v>
      </c>
      <c r="AB6">
        <f t="shared" si="8"/>
        <v>-5.9277108433734935E-3</v>
      </c>
      <c r="AC6">
        <f t="shared" si="9"/>
        <v>-3.9277108433734935E-3</v>
      </c>
      <c r="AD6">
        <f t="shared" si="10"/>
        <v>1.0360722891566265</v>
      </c>
      <c r="AE6">
        <f t="shared" si="11"/>
        <v>23.35</v>
      </c>
      <c r="AF6" s="80">
        <f t="shared" si="12"/>
        <v>24.19</v>
      </c>
    </row>
    <row r="7" spans="1:32" ht="30">
      <c r="A7" s="3">
        <v>6</v>
      </c>
      <c r="B7" s="1" t="s">
        <v>16</v>
      </c>
      <c r="C7" s="1" t="s">
        <v>22</v>
      </c>
      <c r="D7" s="2">
        <v>20.5</v>
      </c>
      <c r="E7" s="2">
        <v>20.5</v>
      </c>
      <c r="F7" s="2">
        <v>20.75</v>
      </c>
      <c r="G7" s="2">
        <v>22.75</v>
      </c>
      <c r="H7" s="5">
        <v>270</v>
      </c>
      <c r="I7" s="5">
        <v>506</v>
      </c>
      <c r="J7" s="6">
        <v>1.874074074074074</v>
      </c>
      <c r="K7" s="5">
        <v>225</v>
      </c>
      <c r="L7" s="5">
        <v>300</v>
      </c>
      <c r="M7" s="6">
        <v>1.3333333333333333</v>
      </c>
      <c r="N7" s="5">
        <v>225</v>
      </c>
      <c r="O7" s="5">
        <v>505</v>
      </c>
      <c r="P7" s="6">
        <v>2.2444444444444445</v>
      </c>
      <c r="Q7" s="62">
        <f>N7</f>
        <v>225</v>
      </c>
      <c r="R7" s="83">
        <f t="shared" si="1"/>
        <v>525.20000000000005</v>
      </c>
      <c r="S7" s="63">
        <f>R7/Q7</f>
        <v>2.3342222222222224</v>
      </c>
      <c r="T7">
        <f>(R7-O7)/O7</f>
        <v>4.0000000000000091E-2</v>
      </c>
      <c r="U7">
        <f t="shared" si="2"/>
        <v>11</v>
      </c>
      <c r="V7">
        <f t="shared" si="3"/>
        <v>13</v>
      </c>
      <c r="W7">
        <f t="shared" si="4"/>
        <v>8.9999999999999982</v>
      </c>
      <c r="X7">
        <f t="shared" si="5"/>
        <v>10.599999999999998</v>
      </c>
      <c r="Y7">
        <f t="shared" si="0"/>
        <v>3.0000000000000001E-3</v>
      </c>
      <c r="Z7">
        <f t="shared" si="6"/>
        <v>2.0000000000000018</v>
      </c>
      <c r="AA7">
        <f t="shared" si="7"/>
        <v>1.5E-3</v>
      </c>
      <c r="AB7">
        <f t="shared" si="8"/>
        <v>4.1000000000000009E-2</v>
      </c>
      <c r="AC7">
        <f t="shared" si="9"/>
        <v>4.250000000000001E-2</v>
      </c>
      <c r="AD7">
        <f t="shared" si="10"/>
        <v>1.0825</v>
      </c>
      <c r="AE7">
        <f t="shared" si="11"/>
        <v>21.700000000000003</v>
      </c>
      <c r="AF7" s="80">
        <f t="shared" si="12"/>
        <v>23.49</v>
      </c>
    </row>
    <row r="8" spans="1:32" ht="30">
      <c r="A8" s="3">
        <v>7</v>
      </c>
      <c r="B8" s="1" t="s">
        <v>16</v>
      </c>
      <c r="C8" s="1" t="s">
        <v>23</v>
      </c>
      <c r="D8" s="2">
        <v>16.75</v>
      </c>
      <c r="E8" s="2">
        <v>16.75</v>
      </c>
      <c r="F8" s="2">
        <v>17.5</v>
      </c>
      <c r="G8" s="2">
        <v>18.75</v>
      </c>
      <c r="H8" s="5">
        <v>720</v>
      </c>
      <c r="I8" s="5">
        <v>873</v>
      </c>
      <c r="J8" s="6">
        <v>1.2124999999999999</v>
      </c>
      <c r="K8" s="5">
        <v>450</v>
      </c>
      <c r="L8" s="5">
        <v>645</v>
      </c>
      <c r="M8" s="6">
        <v>1.4333333333333333</v>
      </c>
      <c r="N8" s="5">
        <v>675</v>
      </c>
      <c r="O8" s="5">
        <v>919</v>
      </c>
      <c r="P8" s="6">
        <v>1.3614814814814815</v>
      </c>
      <c r="Q8" s="62">
        <f>N8</f>
        <v>675</v>
      </c>
      <c r="R8" s="83">
        <f t="shared" si="1"/>
        <v>955.76</v>
      </c>
      <c r="S8" s="63">
        <f>R8/Q8</f>
        <v>1.4159407407407407</v>
      </c>
      <c r="T8">
        <f>(R8-O8)/O8</f>
        <v>3.9999999999999987E-2</v>
      </c>
      <c r="U8">
        <f t="shared" si="2"/>
        <v>33.999999999999993</v>
      </c>
      <c r="V8">
        <f t="shared" si="3"/>
        <v>32</v>
      </c>
      <c r="W8">
        <f t="shared" si="4"/>
        <v>23.999999999999986</v>
      </c>
      <c r="X8">
        <f t="shared" si="5"/>
        <v>28.399999999999991</v>
      </c>
      <c r="Y8">
        <f t="shared" si="0"/>
        <v>4.0000000000000001E-3</v>
      </c>
      <c r="Z8">
        <f t="shared" si="6"/>
        <v>10.000000000000007</v>
      </c>
      <c r="AA8">
        <f t="shared" si="7"/>
        <v>4.0000000000000001E-3</v>
      </c>
      <c r="AB8">
        <f t="shared" si="8"/>
        <v>-2.506459948320413E-3</v>
      </c>
      <c r="AC8">
        <f t="shared" si="9"/>
        <v>1.4935400516795871E-3</v>
      </c>
      <c r="AD8">
        <f t="shared" si="10"/>
        <v>1.0414935400516796</v>
      </c>
      <c r="AE8">
        <f t="shared" si="11"/>
        <v>17.975000000000001</v>
      </c>
      <c r="AF8" s="80">
        <f t="shared" si="12"/>
        <v>18.72</v>
      </c>
    </row>
    <row r="9" spans="1:32" ht="30">
      <c r="A9" s="3">
        <v>8</v>
      </c>
      <c r="B9" s="1" t="s">
        <v>16</v>
      </c>
      <c r="C9" s="1" t="s">
        <v>24</v>
      </c>
      <c r="D9" s="2">
        <v>14</v>
      </c>
      <c r="E9" s="2">
        <v>14</v>
      </c>
      <c r="F9" s="2">
        <v>12.5</v>
      </c>
      <c r="G9" s="2">
        <v>14.25</v>
      </c>
      <c r="H9" s="5">
        <v>630</v>
      </c>
      <c r="I9" s="5">
        <v>530</v>
      </c>
      <c r="J9" s="6">
        <v>0.84126984126984128</v>
      </c>
      <c r="K9" s="5">
        <v>540</v>
      </c>
      <c r="L9" s="5">
        <v>366</v>
      </c>
      <c r="M9" s="6">
        <v>0.67777777777777781</v>
      </c>
      <c r="N9" s="5">
        <v>810</v>
      </c>
      <c r="O9" s="5">
        <v>394</v>
      </c>
      <c r="P9" s="6">
        <v>0.48641975308641977</v>
      </c>
      <c r="Q9" s="62">
        <f>N9</f>
        <v>810</v>
      </c>
      <c r="R9" s="83">
        <f t="shared" si="1"/>
        <v>409.76</v>
      </c>
      <c r="S9" s="63">
        <f>R9/Q9</f>
        <v>0.50587654320987652</v>
      </c>
      <c r="T9">
        <f>(R9-O9)/O9</f>
        <v>3.999999999999998E-2</v>
      </c>
      <c r="U9">
        <f t="shared" si="2"/>
        <v>52</v>
      </c>
      <c r="V9">
        <f t="shared" si="3"/>
        <v>65</v>
      </c>
      <c r="W9">
        <f t="shared" si="4"/>
        <v>42.000000000000007</v>
      </c>
      <c r="X9">
        <f t="shared" si="5"/>
        <v>50.9</v>
      </c>
      <c r="Y9">
        <f t="shared" si="0"/>
        <v>5.0000000000000001E-3</v>
      </c>
      <c r="Z9">
        <f t="shared" si="6"/>
        <v>9.9999999999999929</v>
      </c>
      <c r="AA9">
        <f t="shared" si="7"/>
        <v>5.0000000000000001E-3</v>
      </c>
      <c r="AB9">
        <f t="shared" si="8"/>
        <v>-1.4116575591985429E-2</v>
      </c>
      <c r="AC9">
        <f t="shared" si="9"/>
        <v>-9.1165755919854277E-3</v>
      </c>
      <c r="AD9">
        <f t="shared" si="10"/>
        <v>1.0308834244080145</v>
      </c>
      <c r="AE9">
        <f t="shared" si="11"/>
        <v>13.675000000000001</v>
      </c>
      <c r="AF9" s="80">
        <f t="shared" si="12"/>
        <v>14.1</v>
      </c>
    </row>
    <row r="10" spans="1:32" ht="30">
      <c r="A10" s="3">
        <v>9</v>
      </c>
      <c r="B10" s="1" t="s">
        <v>16</v>
      </c>
      <c r="C10" s="1" t="s">
        <v>25</v>
      </c>
      <c r="D10" s="2">
        <v>22.5</v>
      </c>
      <c r="E10" s="2">
        <v>22.5</v>
      </c>
      <c r="F10" s="2">
        <v>22.25</v>
      </c>
      <c r="G10" s="2">
        <v>23.75</v>
      </c>
      <c r="H10" s="5">
        <v>490</v>
      </c>
      <c r="I10" s="5">
        <v>1287</v>
      </c>
      <c r="J10" s="6">
        <v>2.6265306122448981</v>
      </c>
      <c r="K10" s="5">
        <v>525</v>
      </c>
      <c r="L10" s="5">
        <v>1023</v>
      </c>
      <c r="M10" s="6">
        <v>1.9485714285714286</v>
      </c>
      <c r="N10" s="5">
        <v>560</v>
      </c>
      <c r="O10" s="5">
        <v>1293</v>
      </c>
      <c r="P10" s="6">
        <v>2.3089285714285714</v>
      </c>
      <c r="Q10" s="62">
        <f>N10</f>
        <v>560</v>
      </c>
      <c r="R10" s="83">
        <f t="shared" si="1"/>
        <v>1344.72</v>
      </c>
      <c r="S10" s="63">
        <f>R10/Q10</f>
        <v>2.4012857142857142</v>
      </c>
      <c r="T10">
        <f>(R10-O10)/O10</f>
        <v>4.0000000000000022E-2</v>
      </c>
      <c r="U10">
        <f t="shared" si="2"/>
        <v>6</v>
      </c>
      <c r="V10">
        <f t="shared" si="3"/>
        <v>7</v>
      </c>
      <c r="W10">
        <f t="shared" si="4"/>
        <v>5</v>
      </c>
      <c r="X10">
        <f t="shared" si="5"/>
        <v>5.8</v>
      </c>
      <c r="Y10">
        <f t="shared" si="0"/>
        <v>2E-3</v>
      </c>
      <c r="Z10">
        <f t="shared" si="6"/>
        <v>1</v>
      </c>
      <c r="AA10">
        <f t="shared" si="7"/>
        <v>0</v>
      </c>
      <c r="AB10">
        <f t="shared" si="8"/>
        <v>2.7740102639296181E-3</v>
      </c>
      <c r="AC10">
        <f t="shared" si="9"/>
        <v>2.7740102639296181E-3</v>
      </c>
      <c r="AD10">
        <f t="shared" si="10"/>
        <v>1.0427740102639296</v>
      </c>
      <c r="AE10">
        <f t="shared" si="11"/>
        <v>23.05</v>
      </c>
      <c r="AF10" s="80">
        <f t="shared" si="12"/>
        <v>24.04</v>
      </c>
    </row>
    <row r="11" spans="1:32" ht="30">
      <c r="A11" s="3">
        <v>10</v>
      </c>
      <c r="B11" s="1" t="s">
        <v>16</v>
      </c>
      <c r="C11" s="1" t="s">
        <v>26</v>
      </c>
      <c r="D11" s="2">
        <v>23.25</v>
      </c>
      <c r="E11" s="2">
        <v>23.25</v>
      </c>
      <c r="F11" s="2">
        <v>23.75</v>
      </c>
      <c r="G11" s="2">
        <v>24.5</v>
      </c>
      <c r="H11" s="5">
        <v>675</v>
      </c>
      <c r="I11" s="5">
        <v>1578</v>
      </c>
      <c r="J11" s="6">
        <v>2.3377777777777777</v>
      </c>
      <c r="K11" s="5">
        <v>655</v>
      </c>
      <c r="L11" s="5">
        <v>1259</v>
      </c>
      <c r="M11" s="6">
        <v>1.9221374045801527</v>
      </c>
      <c r="N11" s="5">
        <v>810</v>
      </c>
      <c r="O11" s="5">
        <v>1604</v>
      </c>
      <c r="P11" s="6">
        <v>1.980246913580247</v>
      </c>
      <c r="Q11" s="62">
        <f>N11</f>
        <v>810</v>
      </c>
      <c r="R11" s="83">
        <f t="shared" si="1"/>
        <v>1668.16</v>
      </c>
      <c r="S11" s="63">
        <f>R11/Q11</f>
        <v>2.0594567901234568</v>
      </c>
      <c r="T11">
        <f>(R11-O11)/O11</f>
        <v>4.0000000000000049E-2</v>
      </c>
      <c r="U11">
        <f t="shared" si="2"/>
        <v>4</v>
      </c>
      <c r="V11">
        <f t="shared" si="3"/>
        <v>2</v>
      </c>
      <c r="W11">
        <f t="shared" si="4"/>
        <v>2</v>
      </c>
      <c r="X11">
        <f t="shared" si="5"/>
        <v>2.4000000000000004</v>
      </c>
      <c r="Y11">
        <f t="shared" si="0"/>
        <v>2E-3</v>
      </c>
      <c r="Z11">
        <f t="shared" si="6"/>
        <v>2</v>
      </c>
      <c r="AA11">
        <f t="shared" si="7"/>
        <v>1E-3</v>
      </c>
      <c r="AB11">
        <f t="shared" si="8"/>
        <v>4.5347571558850366E-4</v>
      </c>
      <c r="AC11">
        <f t="shared" si="9"/>
        <v>1.4534757155885037E-3</v>
      </c>
      <c r="AD11">
        <f t="shared" si="10"/>
        <v>1.0414534757155884</v>
      </c>
      <c r="AE11">
        <f t="shared" si="11"/>
        <v>24.024999999999999</v>
      </c>
      <c r="AF11" s="80">
        <f t="shared" si="12"/>
        <v>25.02</v>
      </c>
    </row>
    <row r="12" spans="1:32" ht="30">
      <c r="A12" s="3">
        <v>11</v>
      </c>
      <c r="B12" s="1" t="s">
        <v>16</v>
      </c>
      <c r="C12" s="1" t="s">
        <v>27</v>
      </c>
      <c r="D12" s="2">
        <v>14.75</v>
      </c>
      <c r="E12" s="2">
        <v>14.75</v>
      </c>
      <c r="F12" s="2">
        <v>12</v>
      </c>
      <c r="G12" s="2">
        <v>14.25</v>
      </c>
      <c r="H12" s="5">
        <v>450</v>
      </c>
      <c r="I12" s="5">
        <v>224</v>
      </c>
      <c r="J12" s="6">
        <v>0.49777777777777776</v>
      </c>
      <c r="K12" s="5">
        <v>405</v>
      </c>
      <c r="L12" s="5">
        <v>172</v>
      </c>
      <c r="M12" s="6">
        <v>0.42469135802469138</v>
      </c>
      <c r="N12" s="5">
        <v>495</v>
      </c>
      <c r="O12" s="5">
        <v>150</v>
      </c>
      <c r="P12" s="6">
        <v>0.30303030303030304</v>
      </c>
      <c r="Q12" s="62">
        <f>N12</f>
        <v>495</v>
      </c>
      <c r="R12" s="83">
        <f t="shared" si="1"/>
        <v>156</v>
      </c>
      <c r="S12" s="63">
        <f>R12/Q12</f>
        <v>0.31515151515151513</v>
      </c>
      <c r="T12">
        <f>(R12-O12)/O12</f>
        <v>0.04</v>
      </c>
      <c r="U12">
        <f t="shared" si="2"/>
        <v>48.000000000000007</v>
      </c>
      <c r="V12">
        <f t="shared" si="3"/>
        <v>68</v>
      </c>
      <c r="W12">
        <f t="shared" si="4"/>
        <v>42.000000000000007</v>
      </c>
      <c r="X12">
        <f t="shared" si="5"/>
        <v>51.000000000000007</v>
      </c>
      <c r="Y12">
        <f t="shared" si="0"/>
        <v>5.0000000000000001E-3</v>
      </c>
      <c r="Z12">
        <f t="shared" si="6"/>
        <v>6</v>
      </c>
      <c r="AA12">
        <f t="shared" si="7"/>
        <v>5.0000000000000001E-3</v>
      </c>
      <c r="AB12">
        <f t="shared" si="8"/>
        <v>-1.4323467230443976E-2</v>
      </c>
      <c r="AC12">
        <f t="shared" si="9"/>
        <v>-9.3234672304439749E-3</v>
      </c>
      <c r="AD12">
        <f t="shared" si="10"/>
        <v>1.030676532769556</v>
      </c>
      <c r="AE12">
        <f t="shared" si="11"/>
        <v>13.675000000000001</v>
      </c>
      <c r="AF12" s="80">
        <f t="shared" si="12"/>
        <v>14.09</v>
      </c>
    </row>
    <row r="13" spans="1:32" ht="30">
      <c r="A13" s="3">
        <v>12</v>
      </c>
      <c r="B13" s="1" t="s">
        <v>16</v>
      </c>
      <c r="C13" s="1" t="s">
        <v>28</v>
      </c>
      <c r="D13" s="2">
        <v>19.75</v>
      </c>
      <c r="E13" s="2">
        <v>19.75</v>
      </c>
      <c r="F13" s="2">
        <v>19.5</v>
      </c>
      <c r="G13" s="2">
        <v>22.25</v>
      </c>
      <c r="H13" s="5">
        <v>1100</v>
      </c>
      <c r="I13" s="5">
        <v>1690</v>
      </c>
      <c r="J13" s="6">
        <v>1.5363636363636364</v>
      </c>
      <c r="K13" s="5">
        <v>1000</v>
      </c>
      <c r="L13" s="5">
        <v>1123</v>
      </c>
      <c r="M13" s="6">
        <v>1.123</v>
      </c>
      <c r="N13" s="5">
        <v>1000</v>
      </c>
      <c r="O13" s="5">
        <v>1515</v>
      </c>
      <c r="P13" s="6">
        <v>1.5149999999999999</v>
      </c>
      <c r="Q13" s="62">
        <f>N13</f>
        <v>1000</v>
      </c>
      <c r="R13" s="83">
        <f t="shared" si="1"/>
        <v>1575.6000000000001</v>
      </c>
      <c r="S13" s="63">
        <f>R13/Q13</f>
        <v>1.5756000000000001</v>
      </c>
      <c r="T13">
        <f>(R13-O13)/O13</f>
        <v>4.0000000000000091E-2</v>
      </c>
      <c r="U13">
        <f t="shared" si="2"/>
        <v>15</v>
      </c>
      <c r="V13">
        <f t="shared" si="3"/>
        <v>17</v>
      </c>
      <c r="W13">
        <f t="shared" si="4"/>
        <v>11.000000000000002</v>
      </c>
      <c r="X13">
        <f t="shared" si="5"/>
        <v>13.600000000000001</v>
      </c>
      <c r="Y13">
        <f t="shared" si="0"/>
        <v>3.0000000000000001E-3</v>
      </c>
      <c r="Z13">
        <f t="shared" si="6"/>
        <v>3.9999999999999982</v>
      </c>
      <c r="AA13">
        <f t="shared" si="7"/>
        <v>1.5E-3</v>
      </c>
      <c r="AB13">
        <f t="shared" si="8"/>
        <v>2.0943900267141578E-2</v>
      </c>
      <c r="AC13">
        <f t="shared" si="9"/>
        <v>2.2443900267141579E-2</v>
      </c>
      <c r="AD13">
        <f t="shared" si="10"/>
        <v>1.0624439002671415</v>
      </c>
      <c r="AE13">
        <f t="shared" si="11"/>
        <v>20.925000000000001</v>
      </c>
      <c r="AF13" s="87">
        <f t="shared" si="12"/>
        <v>22.23</v>
      </c>
    </row>
    <row r="14" spans="1:32" ht="30">
      <c r="A14" s="3">
        <v>13</v>
      </c>
      <c r="B14" s="1" t="s">
        <v>16</v>
      </c>
      <c r="C14" s="1" t="s">
        <v>29</v>
      </c>
      <c r="D14" s="2">
        <v>15.25</v>
      </c>
      <c r="E14" s="2">
        <v>15.25</v>
      </c>
      <c r="F14" s="2">
        <v>10.5</v>
      </c>
      <c r="G14" s="2">
        <v>15.75</v>
      </c>
      <c r="H14" s="5">
        <v>810</v>
      </c>
      <c r="I14" s="5">
        <v>462</v>
      </c>
      <c r="J14" s="6">
        <v>0.57037037037037042</v>
      </c>
      <c r="K14" s="5">
        <v>765</v>
      </c>
      <c r="L14" s="5">
        <v>305</v>
      </c>
      <c r="M14" s="6">
        <v>0.39869281045751637</v>
      </c>
      <c r="N14" s="5">
        <v>765</v>
      </c>
      <c r="O14" s="5">
        <v>288</v>
      </c>
      <c r="P14" s="6">
        <v>0.37647058823529411</v>
      </c>
      <c r="Q14" s="62">
        <f>N14</f>
        <v>765</v>
      </c>
      <c r="R14" s="83">
        <f t="shared" si="1"/>
        <v>299.52</v>
      </c>
      <c r="S14" s="63">
        <f>R14/Q14</f>
        <v>0.39152941176470585</v>
      </c>
      <c r="T14">
        <f>(R14-O14)/O14</f>
        <v>3.9999999999999938E-2</v>
      </c>
      <c r="U14">
        <f t="shared" si="2"/>
        <v>44.000000000000007</v>
      </c>
      <c r="V14">
        <f t="shared" si="3"/>
        <v>73.999999999999986</v>
      </c>
      <c r="W14">
        <f t="shared" si="4"/>
        <v>35.999999999999979</v>
      </c>
      <c r="X14">
        <f t="shared" si="5"/>
        <v>48.999999999999993</v>
      </c>
      <c r="Y14">
        <f t="shared" si="0"/>
        <v>5.0000000000000001E-3</v>
      </c>
      <c r="Z14">
        <f t="shared" si="6"/>
        <v>8.0000000000000284</v>
      </c>
      <c r="AA14">
        <f t="shared" si="7"/>
        <v>5.0000000000000001E-3</v>
      </c>
      <c r="AB14">
        <f t="shared" si="8"/>
        <v>-2.7868852459016435E-3</v>
      </c>
      <c r="AC14">
        <f t="shared" si="9"/>
        <v>2.2131147540983566E-3</v>
      </c>
      <c r="AD14">
        <f t="shared" si="10"/>
        <v>1.0422131147540985</v>
      </c>
      <c r="AE14">
        <f t="shared" si="11"/>
        <v>14.075000000000001</v>
      </c>
      <c r="AF14" s="80">
        <f t="shared" si="12"/>
        <v>14.67</v>
      </c>
    </row>
    <row r="15" spans="1:32" ht="30">
      <c r="A15" s="3">
        <v>14</v>
      </c>
      <c r="B15" s="1" t="s">
        <v>16</v>
      </c>
      <c r="C15" s="1" t="s">
        <v>30</v>
      </c>
      <c r="D15" s="2">
        <v>13.75</v>
      </c>
      <c r="E15" s="2">
        <v>13.75</v>
      </c>
      <c r="F15" s="2">
        <v>11.25</v>
      </c>
      <c r="G15" s="2">
        <v>15.25</v>
      </c>
      <c r="H15" s="5">
        <v>675</v>
      </c>
      <c r="I15" s="5">
        <v>446</v>
      </c>
      <c r="J15" s="6">
        <v>0.66074074074074074</v>
      </c>
      <c r="K15" s="5">
        <v>540</v>
      </c>
      <c r="L15" s="5">
        <v>336</v>
      </c>
      <c r="M15" s="6">
        <v>0.62222222222222223</v>
      </c>
      <c r="N15" s="5">
        <v>675</v>
      </c>
      <c r="O15" s="5">
        <v>419</v>
      </c>
      <c r="P15" s="6">
        <v>0.6207407407407407</v>
      </c>
      <c r="Q15" s="62">
        <f>N15</f>
        <v>675</v>
      </c>
      <c r="R15" s="83">
        <f t="shared" si="1"/>
        <v>435.76</v>
      </c>
      <c r="S15" s="63">
        <f>R15/Q15</f>
        <v>0.64557037037037035</v>
      </c>
      <c r="T15">
        <f>(R15-O15)/O15</f>
        <v>3.999999999999998E-2</v>
      </c>
      <c r="U15">
        <f t="shared" si="2"/>
        <v>53.999999999999993</v>
      </c>
      <c r="V15">
        <f t="shared" si="3"/>
        <v>70.999999999999986</v>
      </c>
      <c r="W15">
        <f t="shared" si="4"/>
        <v>37.999999999999979</v>
      </c>
      <c r="X15">
        <f t="shared" si="5"/>
        <v>51.09999999999998</v>
      </c>
      <c r="Y15">
        <f t="shared" si="0"/>
        <v>5.0000000000000001E-3</v>
      </c>
      <c r="Z15">
        <f t="shared" si="6"/>
        <v>16.000000000000014</v>
      </c>
      <c r="AA15">
        <f t="shared" si="7"/>
        <v>5.0000000000000001E-3</v>
      </c>
      <c r="AB15">
        <f t="shared" si="8"/>
        <v>-1.1904761904762279E-4</v>
      </c>
      <c r="AC15">
        <f t="shared" si="9"/>
        <v>4.8809523809523773E-3</v>
      </c>
      <c r="AD15">
        <f t="shared" si="10"/>
        <v>1.0448809523809524</v>
      </c>
      <c r="AE15">
        <f t="shared" si="11"/>
        <v>13.75</v>
      </c>
      <c r="AF15" s="80">
        <f t="shared" si="12"/>
        <v>14.37</v>
      </c>
    </row>
    <row r="16" spans="1:32" ht="30">
      <c r="A16" s="3">
        <v>15</v>
      </c>
      <c r="B16" s="1" t="s">
        <v>16</v>
      </c>
      <c r="C16" s="1" t="s">
        <v>437</v>
      </c>
      <c r="D16" s="2">
        <v>21</v>
      </c>
      <c r="E16" s="2">
        <v>21</v>
      </c>
      <c r="F16" s="2">
        <v>21.5</v>
      </c>
      <c r="G16" s="2">
        <v>23.5</v>
      </c>
      <c r="H16" s="5">
        <v>175</v>
      </c>
      <c r="I16" s="5">
        <v>244</v>
      </c>
      <c r="J16" s="6">
        <f>I16/H16</f>
        <v>1.3942857142857144</v>
      </c>
      <c r="K16" s="5">
        <v>175</v>
      </c>
      <c r="L16" s="5">
        <v>191</v>
      </c>
      <c r="M16" s="6">
        <f>L16/K16</f>
        <v>1.0914285714285714</v>
      </c>
      <c r="N16" s="5">
        <v>175</v>
      </c>
      <c r="O16" s="5">
        <v>350</v>
      </c>
      <c r="P16" s="6">
        <f>O16/N16</f>
        <v>2</v>
      </c>
      <c r="Q16" s="62">
        <f>N16</f>
        <v>175</v>
      </c>
      <c r="R16" s="83">
        <f t="shared" si="1"/>
        <v>364</v>
      </c>
      <c r="S16" s="63">
        <f>R16/Q16</f>
        <v>2.08</v>
      </c>
      <c r="T16">
        <f>(R16-O16)/O16</f>
        <v>0.04</v>
      </c>
      <c r="U16">
        <f t="shared" si="2"/>
        <v>9</v>
      </c>
      <c r="V16">
        <f t="shared" si="3"/>
        <v>10</v>
      </c>
      <c r="W16">
        <f t="shared" si="4"/>
        <v>5.9999999999999991</v>
      </c>
      <c r="X16">
        <f t="shared" si="5"/>
        <v>7.8</v>
      </c>
      <c r="Y16">
        <f t="shared" si="0"/>
        <v>2E-3</v>
      </c>
      <c r="Z16">
        <f t="shared" si="6"/>
        <v>3.0000000000000009</v>
      </c>
      <c r="AA16">
        <f t="shared" si="7"/>
        <v>1E-3</v>
      </c>
      <c r="AB16">
        <f t="shared" si="8"/>
        <v>1.2486910994764398E-2</v>
      </c>
      <c r="AC16">
        <f t="shared" si="9"/>
        <v>1.3486910994764397E-2</v>
      </c>
      <c r="AD16">
        <f t="shared" si="10"/>
        <v>1.0534869109947644</v>
      </c>
      <c r="AE16">
        <f t="shared" si="11"/>
        <v>22.4</v>
      </c>
      <c r="AF16" s="80">
        <f t="shared" si="12"/>
        <v>23.6</v>
      </c>
    </row>
    <row r="17" spans="1:32" ht="30">
      <c r="A17" s="3">
        <v>16</v>
      </c>
      <c r="B17" s="1" t="s">
        <v>16</v>
      </c>
      <c r="C17" s="1" t="s">
        <v>31</v>
      </c>
      <c r="D17" s="2">
        <v>16</v>
      </c>
      <c r="E17" s="2">
        <v>16</v>
      </c>
      <c r="F17" s="2">
        <v>14</v>
      </c>
      <c r="G17" s="2">
        <v>18.25</v>
      </c>
      <c r="H17" s="5">
        <v>810</v>
      </c>
      <c r="I17" s="5">
        <v>930</v>
      </c>
      <c r="J17" s="6">
        <v>1.1481481481481481</v>
      </c>
      <c r="K17" s="5">
        <v>765</v>
      </c>
      <c r="L17" s="5">
        <v>624</v>
      </c>
      <c r="M17" s="6">
        <v>0.81568627450980391</v>
      </c>
      <c r="N17" s="5">
        <v>765</v>
      </c>
      <c r="O17" s="5">
        <v>857</v>
      </c>
      <c r="P17" s="6">
        <v>1.1202614379084967</v>
      </c>
      <c r="Q17" s="62">
        <f>N17</f>
        <v>765</v>
      </c>
      <c r="R17" s="83">
        <f t="shared" si="1"/>
        <v>891.28000000000009</v>
      </c>
      <c r="S17" s="63">
        <f>R17/Q17</f>
        <v>1.1650718954248367</v>
      </c>
      <c r="T17">
        <f>(R17-O17)/O17</f>
        <v>4.0000000000000098E-2</v>
      </c>
      <c r="U17">
        <f t="shared" si="2"/>
        <v>39.999999999999993</v>
      </c>
      <c r="V17">
        <f t="shared" si="3"/>
        <v>56.000000000000007</v>
      </c>
      <c r="W17">
        <f t="shared" si="4"/>
        <v>25.999999999999986</v>
      </c>
      <c r="X17">
        <f t="shared" si="5"/>
        <v>37.79999999999999</v>
      </c>
      <c r="Y17">
        <f t="shared" si="0"/>
        <v>5.0000000000000001E-3</v>
      </c>
      <c r="Z17">
        <f t="shared" si="6"/>
        <v>14.000000000000007</v>
      </c>
      <c r="AA17">
        <f t="shared" si="7"/>
        <v>5.0000000000000001E-3</v>
      </c>
      <c r="AB17">
        <f t="shared" si="8"/>
        <v>1.8669871794871798E-2</v>
      </c>
      <c r="AC17">
        <f t="shared" si="9"/>
        <v>2.3669871794871799E-2</v>
      </c>
      <c r="AD17">
        <f t="shared" si="10"/>
        <v>1.0636698717948718</v>
      </c>
      <c r="AE17">
        <f t="shared" si="11"/>
        <v>16.524999999999999</v>
      </c>
      <c r="AF17" s="80">
        <f t="shared" si="12"/>
        <v>17.579999999999998</v>
      </c>
    </row>
    <row r="18" spans="1:32" ht="30">
      <c r="A18" s="3">
        <v>17</v>
      </c>
      <c r="B18" s="1" t="s">
        <v>16</v>
      </c>
      <c r="C18" s="1" t="s">
        <v>32</v>
      </c>
      <c r="D18" s="2">
        <v>18.25</v>
      </c>
      <c r="E18" s="2">
        <v>18.25</v>
      </c>
      <c r="F18" s="2">
        <v>17.75</v>
      </c>
      <c r="G18" s="2">
        <v>21</v>
      </c>
      <c r="H18" s="5">
        <v>1170</v>
      </c>
      <c r="I18" s="5">
        <v>1664</v>
      </c>
      <c r="J18" s="6">
        <v>1.4222222222222223</v>
      </c>
      <c r="K18" s="5">
        <v>1035</v>
      </c>
      <c r="L18" s="5">
        <v>1338</v>
      </c>
      <c r="M18" s="6">
        <v>1.2927536231884058</v>
      </c>
      <c r="N18" s="5">
        <v>1035</v>
      </c>
      <c r="O18" s="5">
        <v>1720</v>
      </c>
      <c r="P18" s="6">
        <v>1.6618357487922706</v>
      </c>
      <c r="Q18" s="62">
        <f>N18</f>
        <v>1035</v>
      </c>
      <c r="R18" s="83">
        <f t="shared" si="1"/>
        <v>1788.8</v>
      </c>
      <c r="S18" s="63">
        <f>R18/Q18</f>
        <v>1.7283091787439613</v>
      </c>
      <c r="T18">
        <f>(R18-O18)/O18</f>
        <v>3.9999999999999973E-2</v>
      </c>
      <c r="U18">
        <f t="shared" si="2"/>
        <v>22</v>
      </c>
      <c r="V18">
        <f t="shared" si="3"/>
        <v>28</v>
      </c>
      <c r="W18">
        <f t="shared" si="4"/>
        <v>16.000000000000004</v>
      </c>
      <c r="X18">
        <f t="shared" si="5"/>
        <v>20.800000000000004</v>
      </c>
      <c r="Y18">
        <f t="shared" si="0"/>
        <v>4.0000000000000001E-3</v>
      </c>
      <c r="Z18">
        <f t="shared" si="6"/>
        <v>5.9999999999999964</v>
      </c>
      <c r="AA18">
        <f t="shared" si="7"/>
        <v>4.0000000000000001E-3</v>
      </c>
      <c r="AB18">
        <f t="shared" si="8"/>
        <v>1.4275037369207775E-2</v>
      </c>
      <c r="AC18">
        <f t="shared" si="9"/>
        <v>1.8275037369207776E-2</v>
      </c>
      <c r="AD18">
        <f t="shared" si="10"/>
        <v>1.0582750373692078</v>
      </c>
      <c r="AE18">
        <f t="shared" si="11"/>
        <v>19.475000000000001</v>
      </c>
      <c r="AF18" s="80">
        <f t="shared" si="12"/>
        <v>20.61</v>
      </c>
    </row>
    <row r="19" spans="1:32" s="8" customFormat="1" ht="30">
      <c r="A19" s="3">
        <v>18</v>
      </c>
      <c r="B19" s="1" t="s">
        <v>16</v>
      </c>
      <c r="C19" s="1" t="s">
        <v>33</v>
      </c>
      <c r="D19" s="2">
        <v>23</v>
      </c>
      <c r="E19" s="2">
        <v>23</v>
      </c>
      <c r="F19" s="2">
        <v>23</v>
      </c>
      <c r="G19" s="2">
        <v>24.5</v>
      </c>
      <c r="H19" s="5">
        <v>280</v>
      </c>
      <c r="I19" s="5">
        <v>663</v>
      </c>
      <c r="J19" s="6">
        <v>2.3678571428571429</v>
      </c>
      <c r="K19" s="5">
        <v>175</v>
      </c>
      <c r="L19" s="5">
        <v>245</v>
      </c>
      <c r="M19" s="6">
        <f>L19/K19</f>
        <v>1.4</v>
      </c>
      <c r="N19" s="5">
        <v>280</v>
      </c>
      <c r="O19" s="5">
        <v>647</v>
      </c>
      <c r="P19" s="6">
        <v>2.3107142857142855</v>
      </c>
      <c r="Q19" s="62">
        <f>N19</f>
        <v>280</v>
      </c>
      <c r="R19" s="83">
        <f t="shared" si="1"/>
        <v>672.88</v>
      </c>
      <c r="S19" s="63">
        <f>R19/Q19</f>
        <v>2.403142857142857</v>
      </c>
      <c r="T19">
        <f>(R19-O19)/O19</f>
        <v>3.9999999999999994E-2</v>
      </c>
      <c r="U19">
        <f t="shared" si="2"/>
        <v>5</v>
      </c>
      <c r="V19">
        <f t="shared" si="3"/>
        <v>4</v>
      </c>
      <c r="W19">
        <f t="shared" si="4"/>
        <v>2</v>
      </c>
      <c r="X19">
        <f t="shared" si="5"/>
        <v>3.2</v>
      </c>
      <c r="Y19">
        <f t="shared" si="0"/>
        <v>2E-3</v>
      </c>
      <c r="Z19">
        <f t="shared" si="6"/>
        <v>3</v>
      </c>
      <c r="AA19">
        <f t="shared" si="7"/>
        <v>1E-3</v>
      </c>
      <c r="AB19">
        <f t="shared" si="8"/>
        <v>9.7576530612244888E-3</v>
      </c>
      <c r="AC19">
        <f t="shared" si="9"/>
        <v>1.075765306122449E-2</v>
      </c>
      <c r="AD19">
        <f t="shared" si="10"/>
        <v>1.0507576530612246</v>
      </c>
      <c r="AE19">
        <f t="shared" si="11"/>
        <v>23.75</v>
      </c>
      <c r="AF19" s="80">
        <f t="shared" si="12"/>
        <v>24.96</v>
      </c>
    </row>
    <row r="20" spans="1:32" ht="30">
      <c r="A20" s="3">
        <v>19</v>
      </c>
      <c r="B20" s="1" t="s">
        <v>16</v>
      </c>
      <c r="C20" s="1" t="s">
        <v>34</v>
      </c>
      <c r="D20" s="2">
        <v>19.75</v>
      </c>
      <c r="E20" s="2">
        <v>19.75</v>
      </c>
      <c r="F20" s="2">
        <v>21</v>
      </c>
      <c r="G20" s="2">
        <v>23</v>
      </c>
      <c r="H20" s="5">
        <v>900</v>
      </c>
      <c r="I20" s="5">
        <v>1154</v>
      </c>
      <c r="J20" s="6">
        <v>1.2822222222222222</v>
      </c>
      <c r="K20" s="5">
        <v>675</v>
      </c>
      <c r="L20" s="5">
        <v>1046</v>
      </c>
      <c r="M20" s="6">
        <v>1.5496296296296297</v>
      </c>
      <c r="N20" s="5">
        <v>720</v>
      </c>
      <c r="O20" s="5">
        <v>1455</v>
      </c>
      <c r="P20" s="6">
        <v>2.0208333333333335</v>
      </c>
      <c r="Q20" s="62">
        <f>N20</f>
        <v>720</v>
      </c>
      <c r="R20" s="83">
        <f t="shared" si="1"/>
        <v>1513.2</v>
      </c>
      <c r="S20" s="63">
        <f>R20/Q20</f>
        <v>2.1016666666666666</v>
      </c>
      <c r="T20">
        <f>(R20-O20)/O20</f>
        <v>4.0000000000000029E-2</v>
      </c>
      <c r="U20">
        <f t="shared" si="2"/>
        <v>15</v>
      </c>
      <c r="V20">
        <f t="shared" si="3"/>
        <v>12</v>
      </c>
      <c r="W20">
        <f t="shared" si="4"/>
        <v>7.9999999999999982</v>
      </c>
      <c r="X20">
        <f t="shared" si="5"/>
        <v>10.599999999999998</v>
      </c>
      <c r="Y20">
        <f t="shared" si="0"/>
        <v>3.0000000000000001E-3</v>
      </c>
      <c r="Z20">
        <f t="shared" si="6"/>
        <v>7.0000000000000018</v>
      </c>
      <c r="AA20">
        <f t="shared" si="7"/>
        <v>3.0000000000000001E-3</v>
      </c>
      <c r="AB20">
        <f t="shared" si="8"/>
        <v>1.8244502868068835E-2</v>
      </c>
      <c r="AC20">
        <f t="shared" si="9"/>
        <v>2.1244502868068834E-2</v>
      </c>
      <c r="AD20">
        <f t="shared" si="10"/>
        <v>1.0612445028680688</v>
      </c>
      <c r="AE20">
        <f t="shared" si="11"/>
        <v>21.75</v>
      </c>
      <c r="AF20" s="80">
        <f t="shared" si="12"/>
        <v>23.08</v>
      </c>
    </row>
    <row r="21" spans="1:32" ht="30">
      <c r="A21" s="3">
        <v>20</v>
      </c>
      <c r="B21" s="1" t="s">
        <v>16</v>
      </c>
      <c r="C21" s="1" t="s">
        <v>35</v>
      </c>
      <c r="D21" s="2">
        <v>13.75</v>
      </c>
      <c r="E21" s="2">
        <v>13.75</v>
      </c>
      <c r="F21" s="2">
        <v>12.5</v>
      </c>
      <c r="G21" s="2">
        <v>14</v>
      </c>
      <c r="H21" s="5">
        <v>360</v>
      </c>
      <c r="I21" s="5">
        <v>170</v>
      </c>
      <c r="J21" s="6">
        <v>0.47222222222222221</v>
      </c>
      <c r="K21" s="5">
        <v>360</v>
      </c>
      <c r="L21" s="5">
        <v>156</v>
      </c>
      <c r="M21" s="6">
        <v>0.43333333333333335</v>
      </c>
      <c r="N21" s="5">
        <v>540</v>
      </c>
      <c r="O21" s="5">
        <v>159</v>
      </c>
      <c r="P21" s="6">
        <v>0.29444444444444445</v>
      </c>
      <c r="Q21" s="62">
        <f>N21</f>
        <v>540</v>
      </c>
      <c r="R21" s="83">
        <f t="shared" si="1"/>
        <v>165.36</v>
      </c>
      <c r="S21" s="63">
        <f>R21/Q21</f>
        <v>0.30622222222222223</v>
      </c>
      <c r="T21">
        <f>(R21-O21)/O21</f>
        <v>4.0000000000000084E-2</v>
      </c>
      <c r="U21">
        <f t="shared" si="2"/>
        <v>53.999999999999993</v>
      </c>
      <c r="V21">
        <f t="shared" si="3"/>
        <v>65</v>
      </c>
      <c r="W21">
        <f t="shared" si="4"/>
        <v>43.000000000000014</v>
      </c>
      <c r="X21">
        <f t="shared" si="5"/>
        <v>51.800000000000004</v>
      </c>
      <c r="Y21">
        <f t="shared" si="0"/>
        <v>5.0000000000000001E-3</v>
      </c>
      <c r="Z21">
        <f t="shared" si="6"/>
        <v>10.999999999999979</v>
      </c>
      <c r="AA21">
        <f t="shared" si="7"/>
        <v>5.0000000000000001E-3</v>
      </c>
      <c r="AB21">
        <f t="shared" si="8"/>
        <v>-1.6025641025641028E-2</v>
      </c>
      <c r="AC21">
        <f t="shared" si="9"/>
        <v>-1.1025641025641027E-2</v>
      </c>
      <c r="AD21">
        <f t="shared" si="10"/>
        <v>1.028974358974359</v>
      </c>
      <c r="AE21">
        <f t="shared" si="11"/>
        <v>13.5</v>
      </c>
      <c r="AF21" s="80">
        <f t="shared" si="12"/>
        <v>13.89</v>
      </c>
    </row>
    <row r="22" spans="1:32" ht="30">
      <c r="A22" s="3">
        <v>21</v>
      </c>
      <c r="B22" s="1" t="s">
        <v>16</v>
      </c>
      <c r="C22" s="1" t="s">
        <v>36</v>
      </c>
      <c r="D22" s="2">
        <v>22.5</v>
      </c>
      <c r="E22" s="2">
        <v>22.5</v>
      </c>
      <c r="F22" s="2">
        <v>22.25</v>
      </c>
      <c r="G22" s="2">
        <v>24.25</v>
      </c>
      <c r="H22" s="5">
        <v>855</v>
      </c>
      <c r="I22" s="5">
        <v>1816</v>
      </c>
      <c r="J22" s="6">
        <v>2.1239766081871343</v>
      </c>
      <c r="K22" s="5">
        <v>990</v>
      </c>
      <c r="L22" s="5">
        <v>1661</v>
      </c>
      <c r="M22" s="6">
        <v>1.6777777777777778</v>
      </c>
      <c r="N22" s="5">
        <v>990</v>
      </c>
      <c r="O22" s="5">
        <v>2322</v>
      </c>
      <c r="P22" s="6">
        <v>2.3454545454545452</v>
      </c>
      <c r="Q22" s="62">
        <f>N22</f>
        <v>990</v>
      </c>
      <c r="R22" s="83">
        <f t="shared" si="1"/>
        <v>2414.88</v>
      </c>
      <c r="S22" s="63">
        <f>R22/Q22</f>
        <v>2.4392727272727273</v>
      </c>
      <c r="T22">
        <f>(R22-O22)/O22</f>
        <v>4.0000000000000049E-2</v>
      </c>
      <c r="U22">
        <f t="shared" si="2"/>
        <v>6</v>
      </c>
      <c r="V22">
        <f t="shared" si="3"/>
        <v>7</v>
      </c>
      <c r="W22">
        <f t="shared" si="4"/>
        <v>3</v>
      </c>
      <c r="X22">
        <f t="shared" si="5"/>
        <v>4.8000000000000007</v>
      </c>
      <c r="Y22">
        <f t="shared" si="0"/>
        <v>2E-3</v>
      </c>
      <c r="Z22">
        <f t="shared" si="6"/>
        <v>3</v>
      </c>
      <c r="AA22">
        <f t="shared" si="7"/>
        <v>1E-3</v>
      </c>
      <c r="AB22">
        <f t="shared" si="8"/>
        <v>5.9692956050571913E-3</v>
      </c>
      <c r="AC22">
        <f t="shared" si="9"/>
        <v>6.9692956050571913E-3</v>
      </c>
      <c r="AD22">
        <f t="shared" si="10"/>
        <v>1.0469692956050571</v>
      </c>
      <c r="AE22">
        <f t="shared" si="11"/>
        <v>23.3</v>
      </c>
      <c r="AF22" s="80">
        <f t="shared" si="12"/>
        <v>24.39</v>
      </c>
    </row>
    <row r="23" spans="1:32" ht="30">
      <c r="A23" s="3">
        <v>22</v>
      </c>
      <c r="B23" s="1" t="s">
        <v>16</v>
      </c>
      <c r="C23" s="1" t="s">
        <v>37</v>
      </c>
      <c r="D23" s="2">
        <v>19.5</v>
      </c>
      <c r="E23" s="2">
        <v>19.5</v>
      </c>
      <c r="F23" s="2">
        <v>20.25</v>
      </c>
      <c r="G23" s="2">
        <v>22.5</v>
      </c>
      <c r="H23" s="5">
        <v>765</v>
      </c>
      <c r="I23" s="5">
        <v>1190</v>
      </c>
      <c r="J23" s="6">
        <v>1.5555555555555556</v>
      </c>
      <c r="K23" s="5">
        <v>585</v>
      </c>
      <c r="L23" s="5">
        <v>965</v>
      </c>
      <c r="M23" s="6">
        <v>1.6495726495726495</v>
      </c>
      <c r="N23" s="5">
        <v>720</v>
      </c>
      <c r="O23" s="5">
        <v>1473</v>
      </c>
      <c r="P23" s="6">
        <v>2.0458333333333334</v>
      </c>
      <c r="Q23" s="62">
        <f>N23</f>
        <v>720</v>
      </c>
      <c r="R23" s="83">
        <f t="shared" si="1"/>
        <v>1531.92</v>
      </c>
      <c r="S23" s="63">
        <f>R23/Q23</f>
        <v>2.1276666666666668</v>
      </c>
      <c r="T23">
        <f>(R23-O23)/O23</f>
        <v>4.0000000000000049E-2</v>
      </c>
      <c r="U23">
        <f t="shared" si="2"/>
        <v>16</v>
      </c>
      <c r="V23">
        <f t="shared" si="3"/>
        <v>14</v>
      </c>
      <c r="W23">
        <f t="shared" si="4"/>
        <v>10</v>
      </c>
      <c r="X23">
        <f t="shared" si="5"/>
        <v>12.399999999999999</v>
      </c>
      <c r="Y23">
        <f t="shared" si="0"/>
        <v>3.0000000000000001E-3</v>
      </c>
      <c r="Z23">
        <f t="shared" si="6"/>
        <v>6</v>
      </c>
      <c r="AA23">
        <f t="shared" si="7"/>
        <v>3.0000000000000001E-3</v>
      </c>
      <c r="AB23">
        <f t="shared" si="8"/>
        <v>1.4413212435233167E-2</v>
      </c>
      <c r="AC23">
        <f t="shared" si="9"/>
        <v>1.7413212435233166E-2</v>
      </c>
      <c r="AD23">
        <f t="shared" si="10"/>
        <v>1.0574132124352331</v>
      </c>
      <c r="AE23">
        <f t="shared" si="11"/>
        <v>21.225000000000001</v>
      </c>
      <c r="AF23" s="88">
        <f t="shared" si="12"/>
        <v>22.44</v>
      </c>
    </row>
    <row r="24" spans="1:32" ht="30">
      <c r="A24" s="3">
        <v>23</v>
      </c>
      <c r="B24" s="1" t="s">
        <v>16</v>
      </c>
      <c r="C24" s="1" t="s">
        <v>38</v>
      </c>
      <c r="D24" s="2">
        <v>17</v>
      </c>
      <c r="E24" s="2">
        <v>17</v>
      </c>
      <c r="F24" s="2">
        <v>16.75</v>
      </c>
      <c r="G24" s="2">
        <v>19.75</v>
      </c>
      <c r="H24" s="5">
        <v>855</v>
      </c>
      <c r="I24" s="5">
        <v>991</v>
      </c>
      <c r="J24" s="6">
        <v>1.15906432748538</v>
      </c>
      <c r="K24" s="5">
        <v>720</v>
      </c>
      <c r="L24" s="5">
        <v>761</v>
      </c>
      <c r="M24" s="6">
        <v>1.0569444444444445</v>
      </c>
      <c r="N24" s="5">
        <v>855</v>
      </c>
      <c r="O24" s="5">
        <v>1074</v>
      </c>
      <c r="P24" s="6">
        <v>1.2561403508771929</v>
      </c>
      <c r="Q24" s="62">
        <f>N24</f>
        <v>855</v>
      </c>
      <c r="R24" s="83">
        <f t="shared" si="1"/>
        <v>1116.96</v>
      </c>
      <c r="S24" s="63">
        <f>R24/Q24</f>
        <v>1.3063859649122807</v>
      </c>
      <c r="T24">
        <f>(R24-O24)/O24</f>
        <v>4.0000000000000036E-2</v>
      </c>
      <c r="U24">
        <f t="shared" si="2"/>
        <v>31.999999999999996</v>
      </c>
      <c r="V24">
        <f t="shared" si="3"/>
        <v>38</v>
      </c>
      <c r="W24">
        <f t="shared" si="4"/>
        <v>20.999999999999993</v>
      </c>
      <c r="X24">
        <f t="shared" si="5"/>
        <v>28.299999999999997</v>
      </c>
      <c r="Y24">
        <f t="shared" si="0"/>
        <v>4.0000000000000001E-3</v>
      </c>
      <c r="Z24">
        <f t="shared" si="6"/>
        <v>11.000000000000004</v>
      </c>
      <c r="AA24">
        <f t="shared" si="7"/>
        <v>4.0000000000000001E-3</v>
      </c>
      <c r="AB24">
        <f t="shared" si="8"/>
        <v>9.4231966249394786E-3</v>
      </c>
      <c r="AC24">
        <f t="shared" si="9"/>
        <v>1.3423196624939479E-2</v>
      </c>
      <c r="AD24">
        <f t="shared" si="10"/>
        <v>1.0534231966249394</v>
      </c>
      <c r="AE24">
        <f t="shared" si="11"/>
        <v>18.299999999999997</v>
      </c>
      <c r="AF24" s="80">
        <f t="shared" si="12"/>
        <v>19.28</v>
      </c>
    </row>
    <row r="25" spans="1:32" ht="30">
      <c r="A25" s="3">
        <v>24</v>
      </c>
      <c r="B25" s="1" t="s">
        <v>16</v>
      </c>
      <c r="C25" s="1" t="s">
        <v>39</v>
      </c>
      <c r="D25" s="2">
        <v>14.75</v>
      </c>
      <c r="E25" s="2">
        <v>14.75</v>
      </c>
      <c r="F25" s="2">
        <v>14.25</v>
      </c>
      <c r="G25" s="2">
        <v>17</v>
      </c>
      <c r="H25" s="5">
        <v>855</v>
      </c>
      <c r="I25" s="5">
        <v>960</v>
      </c>
      <c r="J25" s="6">
        <v>1.1228070175438596</v>
      </c>
      <c r="K25" s="5">
        <v>675</v>
      </c>
      <c r="L25" s="5">
        <v>737</v>
      </c>
      <c r="M25" s="6">
        <v>1.0918518518518519</v>
      </c>
      <c r="N25" s="5">
        <v>675</v>
      </c>
      <c r="O25" s="5">
        <v>765</v>
      </c>
      <c r="P25" s="6">
        <v>1.1333333333333333</v>
      </c>
      <c r="Q25" s="62">
        <f>N25</f>
        <v>675</v>
      </c>
      <c r="R25" s="83">
        <f t="shared" si="1"/>
        <v>795.6</v>
      </c>
      <c r="S25" s="63">
        <f>R25/Q25</f>
        <v>1.1786666666666668</v>
      </c>
      <c r="T25" s="57">
        <f>(R25-O25)/O25</f>
        <v>4.0000000000000029E-2</v>
      </c>
      <c r="U25">
        <f t="shared" si="2"/>
        <v>48.000000000000007</v>
      </c>
      <c r="V25">
        <f t="shared" si="3"/>
        <v>55.000000000000007</v>
      </c>
      <c r="W25">
        <f t="shared" si="4"/>
        <v>30.999999999999982</v>
      </c>
      <c r="X25">
        <f t="shared" si="5"/>
        <v>41.599999999999994</v>
      </c>
      <c r="Y25">
        <f t="shared" si="0"/>
        <v>5.0000000000000001E-3</v>
      </c>
      <c r="Z25">
        <f t="shared" si="6"/>
        <v>17.000000000000025</v>
      </c>
      <c r="AA25">
        <f t="shared" si="7"/>
        <v>5.0000000000000001E-3</v>
      </c>
      <c r="AB25">
        <f t="shared" si="8"/>
        <v>1.8995929443690624E-3</v>
      </c>
      <c r="AC25">
        <f t="shared" si="9"/>
        <v>6.8995929443690625E-3</v>
      </c>
      <c r="AD25">
        <f t="shared" si="10"/>
        <v>1.0468995929443692</v>
      </c>
      <c r="AE25">
        <f t="shared" si="11"/>
        <v>15.724999999999998</v>
      </c>
      <c r="AF25" s="80">
        <f t="shared" si="12"/>
        <v>16.46</v>
      </c>
    </row>
    <row r="26" spans="1:32" ht="30">
      <c r="A26" s="3">
        <v>25</v>
      </c>
      <c r="B26" s="1" t="s">
        <v>16</v>
      </c>
      <c r="C26" s="1" t="s">
        <v>40</v>
      </c>
      <c r="D26" s="2">
        <v>17.25</v>
      </c>
      <c r="E26" s="2">
        <v>17.25</v>
      </c>
      <c r="F26" s="2">
        <v>17.25</v>
      </c>
      <c r="G26" s="2">
        <v>20</v>
      </c>
      <c r="H26" s="5">
        <v>675</v>
      </c>
      <c r="I26" s="5">
        <v>1088</v>
      </c>
      <c r="J26" s="6">
        <v>1.6118518518518519</v>
      </c>
      <c r="K26" s="5">
        <v>585</v>
      </c>
      <c r="L26" s="5">
        <v>864</v>
      </c>
      <c r="M26" s="6">
        <v>1.476923076923077</v>
      </c>
      <c r="N26" s="5">
        <v>585</v>
      </c>
      <c r="O26" s="5">
        <v>1121</v>
      </c>
      <c r="P26" s="6">
        <v>1.9162393162393163</v>
      </c>
      <c r="Q26" s="62">
        <f>N26</f>
        <v>585</v>
      </c>
      <c r="R26" s="83">
        <f t="shared" si="1"/>
        <v>1165.8400000000001</v>
      </c>
      <c r="S26" s="63">
        <f>R26/Q26</f>
        <v>1.9928888888888892</v>
      </c>
      <c r="T26" s="57">
        <f>(R26-O26)/O26</f>
        <v>4.0000000000000133E-2</v>
      </c>
      <c r="U26">
        <f t="shared" si="2"/>
        <v>28.999999999999996</v>
      </c>
      <c r="V26">
        <f t="shared" si="3"/>
        <v>34</v>
      </c>
      <c r="W26">
        <f t="shared" si="4"/>
        <v>19.999999999999996</v>
      </c>
      <c r="X26">
        <f t="shared" si="5"/>
        <v>25.999999999999996</v>
      </c>
      <c r="Y26">
        <f t="shared" si="0"/>
        <v>4.0000000000000001E-3</v>
      </c>
      <c r="Z26">
        <f t="shared" si="6"/>
        <v>9</v>
      </c>
      <c r="AA26">
        <f t="shared" si="7"/>
        <v>4.0000000000000001E-3</v>
      </c>
      <c r="AB26">
        <f t="shared" si="8"/>
        <v>1.4872685185185183E-2</v>
      </c>
      <c r="AC26">
        <f t="shared" si="9"/>
        <v>1.8872685185185183E-2</v>
      </c>
      <c r="AD26">
        <f t="shared" si="10"/>
        <v>1.0588726851851853</v>
      </c>
      <c r="AE26">
        <f t="shared" si="11"/>
        <v>18.625</v>
      </c>
      <c r="AF26" s="80">
        <f t="shared" si="12"/>
        <v>19.72</v>
      </c>
    </row>
    <row r="27" spans="1:32" ht="30">
      <c r="A27" s="3">
        <v>26</v>
      </c>
      <c r="B27" s="1" t="s">
        <v>16</v>
      </c>
      <c r="C27" s="1" t="s">
        <v>41</v>
      </c>
      <c r="D27" s="2">
        <v>14</v>
      </c>
      <c r="E27" s="2">
        <v>14</v>
      </c>
      <c r="F27" s="2">
        <v>13.75</v>
      </c>
      <c r="G27" s="2">
        <v>15.75</v>
      </c>
      <c r="H27" s="5">
        <v>675</v>
      </c>
      <c r="I27" s="5">
        <v>424</v>
      </c>
      <c r="J27" s="6">
        <v>0.62814814814814812</v>
      </c>
      <c r="K27" s="5">
        <v>495</v>
      </c>
      <c r="L27" s="5">
        <v>343</v>
      </c>
      <c r="M27" s="6">
        <v>0.69292929292929295</v>
      </c>
      <c r="N27" s="5">
        <v>765</v>
      </c>
      <c r="O27" s="5">
        <v>488</v>
      </c>
      <c r="P27" s="6">
        <v>0.6379084967320261</v>
      </c>
      <c r="Q27" s="62">
        <f>N27</f>
        <v>765</v>
      </c>
      <c r="R27" s="83">
        <f t="shared" si="1"/>
        <v>507.52000000000004</v>
      </c>
      <c r="S27" s="63">
        <f>R27/Q27</f>
        <v>0.66342483660130724</v>
      </c>
      <c r="T27" s="57">
        <f>(R27-O27)/O27</f>
        <v>4.0000000000000077E-2</v>
      </c>
      <c r="U27">
        <f t="shared" si="2"/>
        <v>52</v>
      </c>
      <c r="V27">
        <f t="shared" si="3"/>
        <v>59.000000000000007</v>
      </c>
      <c r="W27">
        <f t="shared" si="4"/>
        <v>35.999999999999979</v>
      </c>
      <c r="X27">
        <f t="shared" si="5"/>
        <v>46.099999999999987</v>
      </c>
      <c r="Y27">
        <f t="shared" si="0"/>
        <v>5.0000000000000001E-3</v>
      </c>
      <c r="Z27">
        <f t="shared" si="6"/>
        <v>16.000000000000021</v>
      </c>
      <c r="AA27">
        <f t="shared" si="7"/>
        <v>5.0000000000000001E-3</v>
      </c>
      <c r="AB27">
        <f t="shared" si="8"/>
        <v>-3.9701594923683813E-3</v>
      </c>
      <c r="AC27">
        <f t="shared" si="9"/>
        <v>1.0298405076316188E-3</v>
      </c>
      <c r="AD27">
        <f t="shared" si="10"/>
        <v>1.0410298405076317</v>
      </c>
      <c r="AE27">
        <f t="shared" si="11"/>
        <v>14.8</v>
      </c>
      <c r="AF27" s="80">
        <f t="shared" si="12"/>
        <v>15.41</v>
      </c>
    </row>
    <row r="28" spans="1:32" ht="30">
      <c r="A28" s="3">
        <v>27</v>
      </c>
      <c r="B28" s="1" t="s">
        <v>16</v>
      </c>
      <c r="C28" s="1" t="s">
        <v>42</v>
      </c>
      <c r="D28" s="2">
        <v>18.75</v>
      </c>
      <c r="E28" s="2">
        <v>18.75</v>
      </c>
      <c r="F28" s="2">
        <v>20</v>
      </c>
      <c r="G28" s="2">
        <v>21.25</v>
      </c>
      <c r="H28" s="5">
        <v>855</v>
      </c>
      <c r="I28" s="5">
        <v>1353</v>
      </c>
      <c r="J28" s="6">
        <v>1.5824561403508772</v>
      </c>
      <c r="K28" s="5">
        <v>630</v>
      </c>
      <c r="L28" s="5">
        <v>1102</v>
      </c>
      <c r="M28" s="6">
        <v>1.7492063492063492</v>
      </c>
      <c r="N28" s="5">
        <v>765</v>
      </c>
      <c r="O28" s="5">
        <v>1426</v>
      </c>
      <c r="P28" s="6">
        <v>1.8640522875816994</v>
      </c>
      <c r="Q28" s="62">
        <f>N28</f>
        <v>765</v>
      </c>
      <c r="R28" s="83">
        <f t="shared" si="1"/>
        <v>1483.04</v>
      </c>
      <c r="S28" s="63">
        <f>R28/Q28</f>
        <v>1.9386143790849673</v>
      </c>
      <c r="T28" s="57">
        <f>(R28-O28)/O28</f>
        <v>3.9999999999999973E-2</v>
      </c>
      <c r="U28">
        <f t="shared" si="2"/>
        <v>19</v>
      </c>
      <c r="V28">
        <f t="shared" si="3"/>
        <v>15</v>
      </c>
      <c r="W28">
        <f t="shared" si="4"/>
        <v>15.000000000000004</v>
      </c>
      <c r="X28">
        <f t="shared" si="5"/>
        <v>15.800000000000002</v>
      </c>
      <c r="Y28">
        <f t="shared" si="0"/>
        <v>3.0000000000000001E-3</v>
      </c>
      <c r="Z28">
        <f t="shared" si="6"/>
        <v>3.9999999999999964</v>
      </c>
      <c r="AA28">
        <f t="shared" si="7"/>
        <v>1.5E-3</v>
      </c>
      <c r="AB28">
        <f t="shared" si="8"/>
        <v>3.9393615885555677E-3</v>
      </c>
      <c r="AC28">
        <f t="shared" si="9"/>
        <v>5.4393615885555673E-3</v>
      </c>
      <c r="AD28">
        <f t="shared" si="10"/>
        <v>1.0454393615885555</v>
      </c>
      <c r="AE28">
        <f t="shared" si="11"/>
        <v>20.375</v>
      </c>
      <c r="AF28" s="80">
        <f t="shared" si="12"/>
        <v>21.3</v>
      </c>
    </row>
    <row r="29" spans="1:32" ht="30">
      <c r="A29" s="3">
        <v>28</v>
      </c>
      <c r="B29" s="1" t="s">
        <v>16</v>
      </c>
      <c r="C29" s="1" t="s">
        <v>43</v>
      </c>
      <c r="D29" s="2">
        <v>20.25</v>
      </c>
      <c r="E29" s="2">
        <v>20.25</v>
      </c>
      <c r="F29" s="2">
        <v>20.25</v>
      </c>
      <c r="G29" s="2">
        <v>22.25</v>
      </c>
      <c r="H29" s="5">
        <v>225</v>
      </c>
      <c r="I29" s="5">
        <v>421</v>
      </c>
      <c r="J29" s="6">
        <v>1.8711111111111112</v>
      </c>
      <c r="K29" s="5">
        <v>225</v>
      </c>
      <c r="L29" s="5">
        <v>323</v>
      </c>
      <c r="M29" s="6">
        <v>1.4355555555555555</v>
      </c>
      <c r="N29" s="5">
        <v>225</v>
      </c>
      <c r="O29" s="5">
        <v>437</v>
      </c>
      <c r="P29" s="6">
        <v>1.9422222222222223</v>
      </c>
      <c r="Q29" s="62">
        <f>N29</f>
        <v>225</v>
      </c>
      <c r="R29" s="83">
        <f t="shared" si="1"/>
        <v>454.48</v>
      </c>
      <c r="S29" s="63">
        <f>R29/Q29</f>
        <v>2.019911111111111</v>
      </c>
      <c r="T29" s="57">
        <f>(R29-O29)/O29</f>
        <v>4.0000000000000042E-2</v>
      </c>
      <c r="U29">
        <f t="shared" si="2"/>
        <v>12</v>
      </c>
      <c r="V29">
        <f t="shared" si="3"/>
        <v>14</v>
      </c>
      <c r="W29">
        <f t="shared" si="4"/>
        <v>11.000000000000002</v>
      </c>
      <c r="X29">
        <f t="shared" si="5"/>
        <v>12.100000000000001</v>
      </c>
      <c r="Y29">
        <f t="shared" si="0"/>
        <v>3.0000000000000001E-3</v>
      </c>
      <c r="Z29">
        <f t="shared" si="6"/>
        <v>0.99999999999999822</v>
      </c>
      <c r="AA29">
        <f t="shared" si="7"/>
        <v>0</v>
      </c>
      <c r="AB29">
        <f t="shared" si="8"/>
        <v>2.11764705882353E-2</v>
      </c>
      <c r="AC29">
        <f t="shared" si="9"/>
        <v>2.11764705882353E-2</v>
      </c>
      <c r="AD29">
        <f t="shared" si="10"/>
        <v>1.0611764705882354</v>
      </c>
      <c r="AE29">
        <f t="shared" si="11"/>
        <v>21.25</v>
      </c>
      <c r="AF29" s="80">
        <f t="shared" si="12"/>
        <v>22.55</v>
      </c>
    </row>
    <row r="30" spans="1:32" ht="30">
      <c r="A30" s="3">
        <v>29</v>
      </c>
      <c r="B30" s="1" t="s">
        <v>16</v>
      </c>
      <c r="C30" s="1" t="s">
        <v>44</v>
      </c>
      <c r="D30" s="2">
        <v>13.5</v>
      </c>
      <c r="E30" s="2">
        <v>13.5</v>
      </c>
      <c r="F30" s="2">
        <v>12.25</v>
      </c>
      <c r="G30" s="2">
        <v>15.75</v>
      </c>
      <c r="H30" s="5">
        <v>765</v>
      </c>
      <c r="I30" s="5">
        <v>973</v>
      </c>
      <c r="J30" s="6">
        <v>1.2718954248366012</v>
      </c>
      <c r="K30" s="5">
        <v>630</v>
      </c>
      <c r="L30" s="5">
        <v>681</v>
      </c>
      <c r="M30" s="6">
        <v>1.0809523809523809</v>
      </c>
      <c r="N30" s="5">
        <v>675</v>
      </c>
      <c r="O30" s="5">
        <v>837</v>
      </c>
      <c r="P30" s="6">
        <v>1.24</v>
      </c>
      <c r="Q30" s="62">
        <f>N30</f>
        <v>675</v>
      </c>
      <c r="R30" s="83">
        <f t="shared" si="1"/>
        <v>870.48</v>
      </c>
      <c r="S30" s="63">
        <f>R30/Q30</f>
        <v>1.2896000000000001</v>
      </c>
      <c r="T30" s="57">
        <f>(R30-O30)/O30</f>
        <v>4.0000000000000022E-2</v>
      </c>
      <c r="U30">
        <f t="shared" si="2"/>
        <v>56.000000000000007</v>
      </c>
      <c r="V30">
        <f t="shared" si="3"/>
        <v>65.999999999999986</v>
      </c>
      <c r="W30">
        <f t="shared" si="4"/>
        <v>35.999999999999979</v>
      </c>
      <c r="X30">
        <f t="shared" si="5"/>
        <v>48.999999999999986</v>
      </c>
      <c r="Y30">
        <f t="shared" si="0"/>
        <v>5.0000000000000001E-3</v>
      </c>
      <c r="Z30">
        <f t="shared" si="6"/>
        <v>20.000000000000028</v>
      </c>
      <c r="AA30">
        <f t="shared" si="7"/>
        <v>5.0000000000000001E-3</v>
      </c>
      <c r="AB30">
        <f t="shared" si="8"/>
        <v>7.3568281938326029E-3</v>
      </c>
      <c r="AC30">
        <f t="shared" si="9"/>
        <v>1.2356828193832603E-2</v>
      </c>
      <c r="AD30">
        <f t="shared" si="10"/>
        <v>1.0523568281938327</v>
      </c>
      <c r="AE30">
        <f t="shared" si="11"/>
        <v>14.25</v>
      </c>
      <c r="AF30" s="80">
        <f t="shared" si="12"/>
        <v>15</v>
      </c>
    </row>
    <row r="31" spans="1:32" ht="30">
      <c r="A31" s="3">
        <v>30</v>
      </c>
      <c r="B31" s="1" t="s">
        <v>16</v>
      </c>
      <c r="C31" s="1" t="s">
        <v>45</v>
      </c>
      <c r="D31" s="2">
        <v>14</v>
      </c>
      <c r="E31" s="2">
        <v>14</v>
      </c>
      <c r="F31" s="2">
        <v>10.5</v>
      </c>
      <c r="G31" s="2">
        <v>13.25</v>
      </c>
      <c r="H31" s="5">
        <v>630</v>
      </c>
      <c r="I31" s="5">
        <v>314</v>
      </c>
      <c r="J31" s="6">
        <v>0.49841269841269842</v>
      </c>
      <c r="K31" s="5">
        <v>630</v>
      </c>
      <c r="L31" s="5">
        <v>160</v>
      </c>
      <c r="M31" s="6">
        <v>0.25396825396825395</v>
      </c>
      <c r="N31" s="5">
        <v>765</v>
      </c>
      <c r="O31" s="5">
        <v>200</v>
      </c>
      <c r="P31" s="6">
        <v>0.26143790849673204</v>
      </c>
      <c r="Q31" s="62">
        <f>N31</f>
        <v>765</v>
      </c>
      <c r="R31" s="83">
        <f t="shared" si="1"/>
        <v>208</v>
      </c>
      <c r="S31" s="63">
        <f>R31/Q31</f>
        <v>0.27189542483660128</v>
      </c>
      <c r="T31">
        <f>(R31-O31)/O31</f>
        <v>0.04</v>
      </c>
      <c r="U31">
        <f t="shared" si="2"/>
        <v>52</v>
      </c>
      <c r="V31">
        <f t="shared" si="3"/>
        <v>73.999999999999986</v>
      </c>
      <c r="W31">
        <f t="shared" si="4"/>
        <v>45.000000000000021</v>
      </c>
      <c r="X31">
        <f t="shared" si="5"/>
        <v>55.1</v>
      </c>
      <c r="Y31">
        <f t="shared" si="0"/>
        <v>5.0000000000000001E-3</v>
      </c>
      <c r="Z31">
        <f t="shared" si="6"/>
        <v>6.9999999999999787</v>
      </c>
      <c r="AA31">
        <f t="shared" si="7"/>
        <v>5.0000000000000001E-3</v>
      </c>
      <c r="AB31">
        <f t="shared" si="8"/>
        <v>1.4705882352941235E-3</v>
      </c>
      <c r="AC31">
        <f t="shared" si="9"/>
        <v>6.4705882352941238E-3</v>
      </c>
      <c r="AD31">
        <f t="shared" si="10"/>
        <v>1.0464705882352943</v>
      </c>
      <c r="AE31">
        <f t="shared" si="11"/>
        <v>12.575000000000001</v>
      </c>
      <c r="AF31" s="80">
        <f t="shared" si="12"/>
        <v>13.16</v>
      </c>
    </row>
    <row r="32" spans="1:32" ht="30">
      <c r="A32" s="3">
        <v>31</v>
      </c>
      <c r="B32" s="1" t="s">
        <v>16</v>
      </c>
      <c r="C32" s="1" t="s">
        <v>46</v>
      </c>
      <c r="D32" s="2">
        <v>15.25</v>
      </c>
      <c r="E32" s="2">
        <v>15.25</v>
      </c>
      <c r="F32" s="2">
        <v>15</v>
      </c>
      <c r="G32" s="2">
        <v>18</v>
      </c>
      <c r="H32" s="5">
        <v>630</v>
      </c>
      <c r="I32" s="5">
        <v>913</v>
      </c>
      <c r="J32" s="6">
        <v>1.4492063492063492</v>
      </c>
      <c r="K32" s="5">
        <v>585</v>
      </c>
      <c r="L32" s="5">
        <v>719</v>
      </c>
      <c r="M32" s="6">
        <v>1.2290598290598291</v>
      </c>
      <c r="N32" s="5">
        <v>720</v>
      </c>
      <c r="O32" s="5">
        <v>1048</v>
      </c>
      <c r="P32" s="6">
        <v>1.4555555555555555</v>
      </c>
      <c r="Q32" s="62">
        <f>N32</f>
        <v>720</v>
      </c>
      <c r="R32" s="83">
        <f t="shared" si="1"/>
        <v>1089.92</v>
      </c>
      <c r="S32" s="63">
        <f>R32/Q32</f>
        <v>1.5137777777777779</v>
      </c>
      <c r="T32" s="57">
        <f>(R32-O32)/O32</f>
        <v>4.000000000000007E-2</v>
      </c>
      <c r="U32">
        <f t="shared" si="2"/>
        <v>44.000000000000007</v>
      </c>
      <c r="V32">
        <f t="shared" si="3"/>
        <v>50.000000000000007</v>
      </c>
      <c r="W32">
        <f t="shared" si="4"/>
        <v>26.999999999999989</v>
      </c>
      <c r="X32">
        <f t="shared" si="5"/>
        <v>37.299999999999997</v>
      </c>
      <c r="Y32">
        <f t="shared" si="0"/>
        <v>5.0000000000000001E-3</v>
      </c>
      <c r="Z32">
        <f t="shared" si="6"/>
        <v>17.000000000000018</v>
      </c>
      <c r="AA32">
        <f t="shared" si="7"/>
        <v>5.0000000000000001E-3</v>
      </c>
      <c r="AB32">
        <f t="shared" si="8"/>
        <v>9.2141863699582698E-3</v>
      </c>
      <c r="AC32">
        <f t="shared" si="9"/>
        <v>1.4214186369958269E-2</v>
      </c>
      <c r="AD32">
        <f t="shared" si="10"/>
        <v>1.0542141863699583</v>
      </c>
      <c r="AE32">
        <f t="shared" si="11"/>
        <v>16.55</v>
      </c>
      <c r="AF32" s="80">
        <f t="shared" si="12"/>
        <v>17.45</v>
      </c>
    </row>
    <row r="33" spans="1:32" ht="30">
      <c r="A33" s="3">
        <v>32</v>
      </c>
      <c r="B33" s="1" t="s">
        <v>16</v>
      </c>
      <c r="C33" s="1" t="s">
        <v>47</v>
      </c>
      <c r="D33" s="2">
        <v>11.25</v>
      </c>
      <c r="E33" s="2">
        <v>11.25</v>
      </c>
      <c r="F33" s="2">
        <v>10.5</v>
      </c>
      <c r="G33" s="2">
        <v>11.75</v>
      </c>
      <c r="H33" s="5">
        <v>720</v>
      </c>
      <c r="I33" s="5">
        <v>149</v>
      </c>
      <c r="J33" s="6">
        <v>0.20694444444444443</v>
      </c>
      <c r="K33" s="5">
        <v>675</v>
      </c>
      <c r="L33" s="5">
        <v>203</v>
      </c>
      <c r="M33" s="6">
        <v>0.30074074074074075</v>
      </c>
      <c r="N33" s="5">
        <v>675</v>
      </c>
      <c r="O33" s="5">
        <v>121</v>
      </c>
      <c r="P33" s="6">
        <v>0.17925925925925926</v>
      </c>
      <c r="Q33" s="62">
        <f>N33</f>
        <v>675</v>
      </c>
      <c r="R33" s="83">
        <f t="shared" si="1"/>
        <v>125.84</v>
      </c>
      <c r="S33" s="63">
        <f>R33/Q33</f>
        <v>0.18642962962962964</v>
      </c>
      <c r="T33" s="57">
        <f>(R33-O33)/O33</f>
        <v>4.0000000000000029E-2</v>
      </c>
      <c r="U33">
        <f t="shared" si="2"/>
        <v>76.000000000000014</v>
      </c>
      <c r="V33">
        <f t="shared" si="3"/>
        <v>73.999999999999986</v>
      </c>
      <c r="W33">
        <f t="shared" si="4"/>
        <v>50.000000000000036</v>
      </c>
      <c r="X33">
        <f t="shared" si="5"/>
        <v>62.40000000000002</v>
      </c>
      <c r="Y33">
        <f t="shared" si="0"/>
        <v>5.0000000000000001E-3</v>
      </c>
      <c r="Z33">
        <f t="shared" si="6"/>
        <v>25.999999999999979</v>
      </c>
      <c r="AA33">
        <f t="shared" si="7"/>
        <v>5.0000000000000001E-3</v>
      </c>
      <c r="AB33">
        <f t="shared" si="8"/>
        <v>-2.0197044334975371E-2</v>
      </c>
      <c r="AC33">
        <f t="shared" si="9"/>
        <v>-1.519704433497537E-2</v>
      </c>
      <c r="AD33">
        <f t="shared" si="10"/>
        <v>1.0248029556650247</v>
      </c>
      <c r="AE33">
        <f t="shared" si="11"/>
        <v>11.275</v>
      </c>
      <c r="AF33" s="80">
        <f t="shared" si="12"/>
        <v>11.55</v>
      </c>
    </row>
    <row r="34" spans="1:32" ht="30">
      <c r="A34" s="3">
        <v>33</v>
      </c>
      <c r="B34" s="1" t="s">
        <v>16</v>
      </c>
      <c r="C34" s="1" t="s">
        <v>48</v>
      </c>
      <c r="D34" s="2">
        <v>16.5</v>
      </c>
      <c r="E34" s="2">
        <v>16.5</v>
      </c>
      <c r="F34" s="2">
        <v>15</v>
      </c>
      <c r="G34" s="2">
        <v>18</v>
      </c>
      <c r="H34" s="5">
        <v>630</v>
      </c>
      <c r="I34" s="5">
        <v>807</v>
      </c>
      <c r="J34" s="6">
        <v>1.2809523809523808</v>
      </c>
      <c r="K34" s="5">
        <v>585</v>
      </c>
      <c r="L34" s="5">
        <v>558</v>
      </c>
      <c r="M34" s="6">
        <v>0.9538461538461539</v>
      </c>
      <c r="N34" s="5">
        <v>720</v>
      </c>
      <c r="O34" s="5">
        <v>764</v>
      </c>
      <c r="P34" s="6">
        <v>1.0611111111111111</v>
      </c>
      <c r="Q34" s="62">
        <f>N34</f>
        <v>720</v>
      </c>
      <c r="R34" s="83">
        <f t="shared" si="1"/>
        <v>794.56000000000006</v>
      </c>
      <c r="S34" s="63">
        <f>R34/Q34</f>
        <v>1.1035555555555556</v>
      </c>
      <c r="T34" s="57">
        <f>(R34-O34)/O34</f>
        <v>4.0000000000000077E-2</v>
      </c>
      <c r="U34">
        <f t="shared" si="2"/>
        <v>36</v>
      </c>
      <c r="V34">
        <f t="shared" si="3"/>
        <v>50.000000000000007</v>
      </c>
      <c r="W34">
        <f t="shared" si="4"/>
        <v>26.999999999999989</v>
      </c>
      <c r="X34">
        <f t="shared" si="5"/>
        <v>35.699999999999996</v>
      </c>
      <c r="Y34">
        <f t="shared" si="0"/>
        <v>5.0000000000000001E-3</v>
      </c>
      <c r="Z34">
        <f t="shared" si="6"/>
        <v>9.0000000000000107</v>
      </c>
      <c r="AA34">
        <f t="shared" si="7"/>
        <v>5.0000000000000001E-3</v>
      </c>
      <c r="AB34">
        <f t="shared" si="8"/>
        <v>5.6227598566308216E-3</v>
      </c>
      <c r="AC34">
        <f t="shared" si="9"/>
        <v>1.0622759856630821E-2</v>
      </c>
      <c r="AD34">
        <f t="shared" si="10"/>
        <v>1.0506227598566309</v>
      </c>
      <c r="AE34">
        <f t="shared" si="11"/>
        <v>16.8</v>
      </c>
      <c r="AF34" s="80">
        <f t="shared" si="12"/>
        <v>17.649999999999999</v>
      </c>
    </row>
    <row r="35" spans="1:32" ht="30">
      <c r="A35" s="3">
        <v>34</v>
      </c>
      <c r="B35" s="1" t="s">
        <v>16</v>
      </c>
      <c r="C35" s="1" t="s">
        <v>49</v>
      </c>
      <c r="D35" s="2">
        <v>13</v>
      </c>
      <c r="E35" s="2">
        <v>13</v>
      </c>
      <c r="F35" s="2">
        <v>12.5</v>
      </c>
      <c r="G35" s="2">
        <v>14.5</v>
      </c>
      <c r="H35" s="5">
        <v>450</v>
      </c>
      <c r="I35" s="5">
        <v>358</v>
      </c>
      <c r="J35" s="6">
        <v>0.79555555555555557</v>
      </c>
      <c r="K35" s="5">
        <v>270</v>
      </c>
      <c r="L35" s="5">
        <v>289</v>
      </c>
      <c r="M35" s="6">
        <v>1.0703703703703704</v>
      </c>
      <c r="N35" s="5">
        <v>360</v>
      </c>
      <c r="O35" s="5">
        <v>355</v>
      </c>
      <c r="P35" s="6">
        <v>0.98611111111111116</v>
      </c>
      <c r="Q35" s="62">
        <f>N35</f>
        <v>360</v>
      </c>
      <c r="R35" s="83">
        <f t="shared" si="1"/>
        <v>369.2</v>
      </c>
      <c r="S35" s="63">
        <f>R35/Q35</f>
        <v>1.0255555555555556</v>
      </c>
      <c r="T35" s="57">
        <f>(R35-O35)/O35</f>
        <v>3.9999999999999966E-2</v>
      </c>
      <c r="U35">
        <f t="shared" si="2"/>
        <v>61.000000000000014</v>
      </c>
      <c r="V35">
        <f t="shared" si="3"/>
        <v>65</v>
      </c>
      <c r="W35">
        <f t="shared" si="4"/>
        <v>41</v>
      </c>
      <c r="X35">
        <f t="shared" si="5"/>
        <v>52.2</v>
      </c>
      <c r="Y35">
        <f t="shared" si="0"/>
        <v>5.0000000000000001E-3</v>
      </c>
      <c r="Z35">
        <f t="shared" si="6"/>
        <v>20.000000000000014</v>
      </c>
      <c r="AA35">
        <f t="shared" si="7"/>
        <v>5.0000000000000001E-3</v>
      </c>
      <c r="AB35">
        <f t="shared" si="8"/>
        <v>-3.9359861591695506E-3</v>
      </c>
      <c r="AC35">
        <f t="shared" si="9"/>
        <v>1.0640138408304495E-3</v>
      </c>
      <c r="AD35">
        <f t="shared" si="10"/>
        <v>1.0410640138408305</v>
      </c>
      <c r="AE35">
        <f t="shared" si="11"/>
        <v>13.6</v>
      </c>
      <c r="AF35" s="80">
        <f t="shared" si="12"/>
        <v>14.16</v>
      </c>
    </row>
    <row r="36" spans="1:32" ht="30">
      <c r="A36" s="3">
        <v>35</v>
      </c>
      <c r="B36" s="1" t="s">
        <v>16</v>
      </c>
      <c r="C36" s="1" t="s">
        <v>50</v>
      </c>
      <c r="D36" s="2">
        <v>15.25</v>
      </c>
      <c r="E36" s="2">
        <v>15.25</v>
      </c>
      <c r="F36" s="2">
        <v>15</v>
      </c>
      <c r="G36" s="2">
        <v>18.5</v>
      </c>
      <c r="H36" s="5">
        <v>855</v>
      </c>
      <c r="I36" s="5">
        <v>983</v>
      </c>
      <c r="J36" s="6">
        <v>1.1497076023391812</v>
      </c>
      <c r="K36" s="5">
        <v>675</v>
      </c>
      <c r="L36" s="5">
        <v>706</v>
      </c>
      <c r="M36" s="6">
        <v>1.0459259259259259</v>
      </c>
      <c r="N36" s="5">
        <v>675</v>
      </c>
      <c r="O36" s="5">
        <v>1045</v>
      </c>
      <c r="P36" s="6">
        <v>1.5481481481481481</v>
      </c>
      <c r="Q36" s="62">
        <f>N36</f>
        <v>675</v>
      </c>
      <c r="R36" s="83">
        <f t="shared" si="1"/>
        <v>1086.8</v>
      </c>
      <c r="S36" s="63">
        <f>R36/Q36</f>
        <v>1.610074074074074</v>
      </c>
      <c r="T36" s="57">
        <f>(R36-O36)/O36</f>
        <v>3.9999999999999959E-2</v>
      </c>
      <c r="U36">
        <f t="shared" si="2"/>
        <v>44.000000000000007</v>
      </c>
      <c r="V36">
        <f t="shared" si="3"/>
        <v>50.000000000000007</v>
      </c>
      <c r="W36">
        <f t="shared" si="4"/>
        <v>24.999999999999986</v>
      </c>
      <c r="X36">
        <f t="shared" si="5"/>
        <v>36.299999999999997</v>
      </c>
      <c r="Y36">
        <f t="shared" si="0"/>
        <v>5.0000000000000001E-3</v>
      </c>
      <c r="Z36">
        <f t="shared" si="6"/>
        <v>19.000000000000021</v>
      </c>
      <c r="AA36">
        <f t="shared" si="7"/>
        <v>5.0000000000000001E-3</v>
      </c>
      <c r="AB36">
        <f t="shared" si="8"/>
        <v>2.4008498583569404E-2</v>
      </c>
      <c r="AC36">
        <f t="shared" si="9"/>
        <v>2.9008498583569405E-2</v>
      </c>
      <c r="AD36">
        <f t="shared" si="10"/>
        <v>1.0690084985835695</v>
      </c>
      <c r="AE36">
        <f t="shared" si="11"/>
        <v>16.8</v>
      </c>
      <c r="AF36" s="80">
        <f t="shared" si="12"/>
        <v>17.96</v>
      </c>
    </row>
    <row r="37" spans="1:32" ht="30">
      <c r="A37" s="3">
        <v>36</v>
      </c>
      <c r="B37" s="1" t="s">
        <v>16</v>
      </c>
      <c r="C37" s="1" t="s">
        <v>51</v>
      </c>
      <c r="D37" s="2">
        <v>16.25</v>
      </c>
      <c r="E37" s="2">
        <v>16.25</v>
      </c>
      <c r="F37" s="2">
        <v>16.25</v>
      </c>
      <c r="G37" s="2">
        <v>19.25</v>
      </c>
      <c r="H37" s="5">
        <v>765</v>
      </c>
      <c r="I37" s="5">
        <v>800</v>
      </c>
      <c r="J37" s="6">
        <v>1.0457516339869282</v>
      </c>
      <c r="K37" s="5">
        <v>540</v>
      </c>
      <c r="L37" s="5">
        <v>514</v>
      </c>
      <c r="M37" s="6">
        <v>0.95185185185185184</v>
      </c>
      <c r="N37" s="5">
        <v>675</v>
      </c>
      <c r="O37" s="5">
        <v>888</v>
      </c>
      <c r="P37" s="6">
        <v>1.3155555555555556</v>
      </c>
      <c r="Q37" s="62">
        <f>N37</f>
        <v>675</v>
      </c>
      <c r="R37" s="83">
        <f t="shared" si="1"/>
        <v>923.52</v>
      </c>
      <c r="S37" s="63">
        <f>R37/Q37</f>
        <v>1.3681777777777777</v>
      </c>
      <c r="T37" s="57">
        <f>(R37-O37)/O37</f>
        <v>3.999999999999998E-2</v>
      </c>
      <c r="U37">
        <f t="shared" si="2"/>
        <v>37</v>
      </c>
      <c r="V37">
        <f t="shared" si="3"/>
        <v>41</v>
      </c>
      <c r="W37">
        <f t="shared" si="4"/>
        <v>21.999999999999989</v>
      </c>
      <c r="X37">
        <f t="shared" si="5"/>
        <v>30.699999999999996</v>
      </c>
      <c r="Y37">
        <f t="shared" si="0"/>
        <v>5.0000000000000001E-3</v>
      </c>
      <c r="Z37">
        <f t="shared" si="6"/>
        <v>15.000000000000011</v>
      </c>
      <c r="AA37">
        <f t="shared" si="7"/>
        <v>5.0000000000000001E-3</v>
      </c>
      <c r="AB37">
        <f t="shared" si="8"/>
        <v>1.9105058365758758E-2</v>
      </c>
      <c r="AC37">
        <f t="shared" si="9"/>
        <v>2.4105058365758759E-2</v>
      </c>
      <c r="AD37">
        <f t="shared" si="10"/>
        <v>1.0641050583657587</v>
      </c>
      <c r="AE37">
        <f t="shared" si="11"/>
        <v>17.75</v>
      </c>
      <c r="AF37" s="80">
        <f t="shared" si="12"/>
        <v>18.89</v>
      </c>
    </row>
    <row r="38" spans="1:32" ht="30">
      <c r="A38" s="3">
        <v>37</v>
      </c>
      <c r="B38" s="1" t="s">
        <v>16</v>
      </c>
      <c r="C38" s="1" t="s">
        <v>52</v>
      </c>
      <c r="D38" s="2">
        <v>12</v>
      </c>
      <c r="E38" s="2">
        <v>12</v>
      </c>
      <c r="F38" s="2">
        <v>10.5</v>
      </c>
      <c r="G38" s="2">
        <v>12.5</v>
      </c>
      <c r="H38" s="5">
        <v>675</v>
      </c>
      <c r="I38" s="5">
        <v>382</v>
      </c>
      <c r="J38" s="6">
        <v>0.56592592592592594</v>
      </c>
      <c r="K38" s="5">
        <v>675</v>
      </c>
      <c r="L38" s="5">
        <v>261</v>
      </c>
      <c r="M38" s="6">
        <v>0.38666666666666666</v>
      </c>
      <c r="N38" s="5">
        <v>720</v>
      </c>
      <c r="O38" s="5">
        <v>266</v>
      </c>
      <c r="P38" s="6">
        <v>0.36944444444444446</v>
      </c>
      <c r="Q38" s="62">
        <f>N38</f>
        <v>720</v>
      </c>
      <c r="R38" s="83">
        <f t="shared" si="1"/>
        <v>276.64</v>
      </c>
      <c r="S38" s="63">
        <f>R38/Q38</f>
        <v>0.38422222222222219</v>
      </c>
      <c r="T38" s="57">
        <f>(R38-O38)/O38</f>
        <v>3.9999999999999945E-2</v>
      </c>
      <c r="U38">
        <f t="shared" si="2"/>
        <v>70.000000000000028</v>
      </c>
      <c r="V38">
        <f t="shared" si="3"/>
        <v>73.999999999999986</v>
      </c>
      <c r="W38">
        <f t="shared" si="4"/>
        <v>47.000000000000028</v>
      </c>
      <c r="X38">
        <f t="shared" si="5"/>
        <v>59.700000000000017</v>
      </c>
      <c r="Y38">
        <f t="shared" si="0"/>
        <v>5.0000000000000001E-3</v>
      </c>
      <c r="Z38">
        <f t="shared" si="6"/>
        <v>23</v>
      </c>
      <c r="AA38">
        <f t="shared" si="7"/>
        <v>5.0000000000000001E-3</v>
      </c>
      <c r="AB38">
        <f t="shared" si="8"/>
        <v>-2.2270114942528701E-3</v>
      </c>
      <c r="AC38">
        <f t="shared" si="9"/>
        <v>2.77298850574713E-3</v>
      </c>
      <c r="AD38">
        <f t="shared" si="10"/>
        <v>1.0427729885057471</v>
      </c>
      <c r="AE38">
        <f t="shared" si="11"/>
        <v>11.8</v>
      </c>
      <c r="AF38" s="80">
        <f t="shared" si="12"/>
        <v>12.3</v>
      </c>
    </row>
    <row r="39" spans="1:32" ht="30">
      <c r="A39" s="3">
        <v>38</v>
      </c>
      <c r="B39" s="1" t="s">
        <v>16</v>
      </c>
      <c r="C39" s="1" t="s">
        <v>53</v>
      </c>
      <c r="D39" s="2">
        <v>11</v>
      </c>
      <c r="E39" s="2">
        <v>11</v>
      </c>
      <c r="F39" s="2">
        <v>10.5</v>
      </c>
      <c r="G39" s="2">
        <v>12</v>
      </c>
      <c r="H39" s="5">
        <v>855</v>
      </c>
      <c r="I39" s="5">
        <v>384</v>
      </c>
      <c r="J39" s="6">
        <v>0.44912280701754387</v>
      </c>
      <c r="K39" s="5">
        <v>810</v>
      </c>
      <c r="L39" s="5">
        <v>343</v>
      </c>
      <c r="M39" s="6">
        <v>0.42345679012345677</v>
      </c>
      <c r="N39" s="5">
        <v>1125</v>
      </c>
      <c r="O39" s="5">
        <v>286</v>
      </c>
      <c r="P39" s="6">
        <v>0.25422222222222224</v>
      </c>
      <c r="Q39" s="62">
        <f>N39</f>
        <v>1125</v>
      </c>
      <c r="R39" s="83">
        <f t="shared" si="1"/>
        <v>297.44</v>
      </c>
      <c r="S39" s="63">
        <f>R39/Q39</f>
        <v>0.26439111111111113</v>
      </c>
      <c r="T39" s="57">
        <f>(R39-O39)/O39</f>
        <v>3.9999999999999994E-2</v>
      </c>
      <c r="U39">
        <f t="shared" si="2"/>
        <v>77.000000000000014</v>
      </c>
      <c r="V39">
        <f t="shared" si="3"/>
        <v>73.999999999999986</v>
      </c>
      <c r="W39">
        <f t="shared" si="4"/>
        <v>49.000000000000036</v>
      </c>
      <c r="X39">
        <f t="shared" si="5"/>
        <v>62.100000000000023</v>
      </c>
      <c r="Y39">
        <f t="shared" si="0"/>
        <v>5.0000000000000001E-3</v>
      </c>
      <c r="Z39">
        <f t="shared" si="6"/>
        <v>27.999999999999979</v>
      </c>
      <c r="AA39">
        <f t="shared" si="7"/>
        <v>5.0000000000000001E-3</v>
      </c>
      <c r="AB39">
        <f t="shared" si="8"/>
        <v>-1.9982507288629735E-2</v>
      </c>
      <c r="AC39">
        <f t="shared" si="9"/>
        <v>-1.4982507288629734E-2</v>
      </c>
      <c r="AD39">
        <f t="shared" si="10"/>
        <v>1.0250174927113702</v>
      </c>
      <c r="AE39">
        <f t="shared" si="11"/>
        <v>11.350000000000001</v>
      </c>
      <c r="AF39" s="80">
        <f t="shared" si="12"/>
        <v>11.63</v>
      </c>
    </row>
    <row r="40" spans="1:32" ht="30">
      <c r="A40" s="3">
        <v>39</v>
      </c>
      <c r="B40" s="1" t="s">
        <v>16</v>
      </c>
      <c r="C40" s="1" t="s">
        <v>54</v>
      </c>
      <c r="D40" s="2">
        <v>14.75</v>
      </c>
      <c r="E40" s="2">
        <v>14.75</v>
      </c>
      <c r="F40" s="2">
        <v>13.5</v>
      </c>
      <c r="G40" s="2">
        <v>16.5</v>
      </c>
      <c r="H40" s="5">
        <v>585</v>
      </c>
      <c r="I40" s="5">
        <v>667</v>
      </c>
      <c r="J40" s="6">
        <v>1.1401709401709401</v>
      </c>
      <c r="K40" s="5">
        <v>585</v>
      </c>
      <c r="L40" s="5">
        <v>563</v>
      </c>
      <c r="M40" s="6">
        <v>0.96239316239316242</v>
      </c>
      <c r="N40" s="5">
        <v>765</v>
      </c>
      <c r="O40" s="5">
        <v>874</v>
      </c>
      <c r="P40" s="6">
        <v>1.1424836601307189</v>
      </c>
      <c r="Q40" s="62">
        <f>N40</f>
        <v>765</v>
      </c>
      <c r="R40" s="83">
        <f t="shared" si="1"/>
        <v>908.96</v>
      </c>
      <c r="S40" s="63">
        <f>R40/Q40</f>
        <v>1.1881830065359478</v>
      </c>
      <c r="T40" s="57">
        <f>(R40-O40)/O40</f>
        <v>4.0000000000000042E-2</v>
      </c>
      <c r="U40">
        <f t="shared" si="2"/>
        <v>48.000000000000007</v>
      </c>
      <c r="V40">
        <f t="shared" si="3"/>
        <v>60</v>
      </c>
      <c r="W40">
        <f t="shared" si="4"/>
        <v>32.999999999999979</v>
      </c>
      <c r="X40">
        <f t="shared" si="5"/>
        <v>44.099999999999987</v>
      </c>
      <c r="Y40">
        <f t="shared" si="0"/>
        <v>5.0000000000000001E-3</v>
      </c>
      <c r="Z40">
        <f t="shared" si="6"/>
        <v>15.000000000000028</v>
      </c>
      <c r="AA40">
        <f t="shared" si="7"/>
        <v>5.0000000000000001E-3</v>
      </c>
      <c r="AB40">
        <f t="shared" si="8"/>
        <v>9.3563890920488942E-3</v>
      </c>
      <c r="AC40">
        <f t="shared" si="9"/>
        <v>1.4356389092048893E-2</v>
      </c>
      <c r="AD40">
        <f t="shared" si="10"/>
        <v>1.0543563890920489</v>
      </c>
      <c r="AE40">
        <f t="shared" si="11"/>
        <v>15.25</v>
      </c>
      <c r="AF40" s="80">
        <f t="shared" si="12"/>
        <v>16.079999999999998</v>
      </c>
    </row>
    <row r="41" spans="1:32" ht="30">
      <c r="A41" s="3">
        <v>40</v>
      </c>
      <c r="B41" s="1" t="s">
        <v>16</v>
      </c>
      <c r="C41" s="1" t="s">
        <v>55</v>
      </c>
      <c r="D41" s="2">
        <v>18.25</v>
      </c>
      <c r="E41" s="2">
        <v>18.25</v>
      </c>
      <c r="F41" s="2">
        <v>18.75</v>
      </c>
      <c r="G41" s="2">
        <v>20.75</v>
      </c>
      <c r="H41" s="5">
        <v>855</v>
      </c>
      <c r="I41" s="5">
        <v>1105</v>
      </c>
      <c r="J41" s="6">
        <v>1.2923976608187135</v>
      </c>
      <c r="K41" s="5">
        <v>675</v>
      </c>
      <c r="L41" s="5">
        <v>867</v>
      </c>
      <c r="M41" s="6">
        <v>1.2844444444444445</v>
      </c>
      <c r="N41" s="5">
        <v>855</v>
      </c>
      <c r="O41" s="5">
        <v>1013</v>
      </c>
      <c r="P41" s="6">
        <v>1.184795321637427</v>
      </c>
      <c r="Q41" s="62">
        <f>N41</f>
        <v>855</v>
      </c>
      <c r="R41" s="83">
        <f t="shared" si="1"/>
        <v>1053.52</v>
      </c>
      <c r="S41" s="63">
        <f>R41/Q41</f>
        <v>1.2321871345029241</v>
      </c>
      <c r="T41" s="57">
        <f>(R41-O41)/O41</f>
        <v>3.999999999999998E-2</v>
      </c>
      <c r="U41">
        <f t="shared" si="2"/>
        <v>22</v>
      </c>
      <c r="V41">
        <f t="shared" si="3"/>
        <v>21</v>
      </c>
      <c r="W41">
        <f t="shared" si="4"/>
        <v>17.000000000000004</v>
      </c>
      <c r="X41">
        <f t="shared" si="5"/>
        <v>19.200000000000003</v>
      </c>
      <c r="Y41">
        <f t="shared" si="0"/>
        <v>3.0000000000000001E-3</v>
      </c>
      <c r="Z41">
        <f t="shared" si="6"/>
        <v>4.9999999999999964</v>
      </c>
      <c r="AA41">
        <f t="shared" si="7"/>
        <v>3.0000000000000001E-3</v>
      </c>
      <c r="AB41">
        <f t="shared" si="8"/>
        <v>-4.654889819704972E-3</v>
      </c>
      <c r="AC41">
        <f t="shared" si="9"/>
        <v>-1.654889819704972E-3</v>
      </c>
      <c r="AD41">
        <f t="shared" si="10"/>
        <v>1.038345110180295</v>
      </c>
      <c r="AE41">
        <f t="shared" si="11"/>
        <v>19.649999999999999</v>
      </c>
      <c r="AF41" s="80">
        <f t="shared" si="12"/>
        <v>20.399999999999999</v>
      </c>
    </row>
    <row r="42" spans="1:32" ht="30">
      <c r="A42" s="3">
        <v>41</v>
      </c>
      <c r="B42" s="1" t="s">
        <v>16</v>
      </c>
      <c r="C42" s="1" t="s">
        <v>56</v>
      </c>
      <c r="D42" s="2">
        <v>19.5</v>
      </c>
      <c r="E42" s="2">
        <v>19.5</v>
      </c>
      <c r="F42" s="2">
        <v>18.75</v>
      </c>
      <c r="G42" s="2">
        <v>21.75</v>
      </c>
      <c r="H42" s="5">
        <v>595</v>
      </c>
      <c r="I42" s="5">
        <v>664</v>
      </c>
      <c r="J42" s="6">
        <v>1.1159663865546219</v>
      </c>
      <c r="K42" s="5">
        <v>595</v>
      </c>
      <c r="L42" s="5">
        <v>562</v>
      </c>
      <c r="M42" s="6">
        <v>0.9445378151260504</v>
      </c>
      <c r="N42" s="5">
        <v>595</v>
      </c>
      <c r="O42" s="5">
        <v>823</v>
      </c>
      <c r="P42" s="6">
        <v>1.3831932773109243</v>
      </c>
      <c r="Q42" s="62">
        <f>N42</f>
        <v>595</v>
      </c>
      <c r="R42" s="83">
        <f t="shared" si="1"/>
        <v>855.92000000000007</v>
      </c>
      <c r="S42" s="63">
        <f>R42/Q42</f>
        <v>1.4385210084033615</v>
      </c>
      <c r="T42" s="57">
        <f>(R42-O42)/O42</f>
        <v>4.0000000000000091E-2</v>
      </c>
      <c r="U42">
        <f t="shared" si="2"/>
        <v>16</v>
      </c>
      <c r="V42">
        <f t="shared" si="3"/>
        <v>21</v>
      </c>
      <c r="W42">
        <f t="shared" si="4"/>
        <v>13.000000000000002</v>
      </c>
      <c r="X42">
        <f t="shared" si="5"/>
        <v>16</v>
      </c>
      <c r="Y42">
        <f t="shared" si="0"/>
        <v>3.0000000000000001E-3</v>
      </c>
      <c r="Z42">
        <f t="shared" si="6"/>
        <v>2.9999999999999982</v>
      </c>
      <c r="AA42">
        <f t="shared" si="7"/>
        <v>1.5E-3</v>
      </c>
      <c r="AB42">
        <f t="shared" si="8"/>
        <v>2.7864768683274022E-2</v>
      </c>
      <c r="AC42">
        <f t="shared" si="9"/>
        <v>2.9364768683274024E-2</v>
      </c>
      <c r="AD42">
        <f t="shared" si="10"/>
        <v>1.0693647686832741</v>
      </c>
      <c r="AE42">
        <f t="shared" si="11"/>
        <v>20.399999999999999</v>
      </c>
      <c r="AF42" s="87">
        <f t="shared" si="12"/>
        <v>21.82</v>
      </c>
    </row>
    <row r="43" spans="1:32" ht="30">
      <c r="A43" s="3">
        <v>42</v>
      </c>
      <c r="B43" s="1" t="s">
        <v>16</v>
      </c>
      <c r="C43" s="1" t="s">
        <v>57</v>
      </c>
      <c r="D43" s="2">
        <v>15.25</v>
      </c>
      <c r="E43" s="2">
        <v>15.25</v>
      </c>
      <c r="F43" s="2">
        <v>13.75</v>
      </c>
      <c r="G43" s="2">
        <v>16.25</v>
      </c>
      <c r="H43" s="5">
        <v>720</v>
      </c>
      <c r="I43" s="5">
        <v>583</v>
      </c>
      <c r="J43" s="6">
        <v>0.80972222222222223</v>
      </c>
      <c r="K43" s="5">
        <v>630</v>
      </c>
      <c r="L43" s="5">
        <v>419</v>
      </c>
      <c r="M43" s="6">
        <v>0.66507936507936505</v>
      </c>
      <c r="N43" s="5">
        <v>900</v>
      </c>
      <c r="O43" s="5">
        <v>625</v>
      </c>
      <c r="P43" s="6">
        <v>0.69444444444444442</v>
      </c>
      <c r="Q43" s="62">
        <f>N43</f>
        <v>900</v>
      </c>
      <c r="R43" s="83">
        <f t="shared" si="1"/>
        <v>650</v>
      </c>
      <c r="S43" s="63">
        <f>R43/Q43</f>
        <v>0.72222222222222221</v>
      </c>
      <c r="T43" s="57">
        <f>(R43-O43)/O43</f>
        <v>0.04</v>
      </c>
      <c r="U43">
        <f t="shared" si="2"/>
        <v>44.000000000000007</v>
      </c>
      <c r="V43">
        <f t="shared" si="3"/>
        <v>59.000000000000007</v>
      </c>
      <c r="W43">
        <f t="shared" si="4"/>
        <v>33.999999999999979</v>
      </c>
      <c r="X43">
        <f t="shared" si="5"/>
        <v>43.499999999999993</v>
      </c>
      <c r="Y43">
        <f t="shared" si="0"/>
        <v>5.0000000000000001E-3</v>
      </c>
      <c r="Z43">
        <f t="shared" si="6"/>
        <v>10.000000000000028</v>
      </c>
      <c r="AA43">
        <f t="shared" si="7"/>
        <v>5.0000000000000001E-3</v>
      </c>
      <c r="AB43">
        <f t="shared" si="8"/>
        <v>2.2076372315035808E-3</v>
      </c>
      <c r="AC43">
        <f t="shared" si="9"/>
        <v>7.2076372315035813E-3</v>
      </c>
      <c r="AD43">
        <f t="shared" si="10"/>
        <v>1.0472076372315036</v>
      </c>
      <c r="AE43">
        <f t="shared" si="11"/>
        <v>15.3</v>
      </c>
      <c r="AF43" s="80">
        <f t="shared" si="12"/>
        <v>16.02</v>
      </c>
    </row>
    <row r="44" spans="1:32" ht="30">
      <c r="A44" s="3">
        <v>43</v>
      </c>
      <c r="B44" s="1" t="s">
        <v>16</v>
      </c>
      <c r="C44" s="1" t="s">
        <v>58</v>
      </c>
      <c r="D44" s="2">
        <v>15</v>
      </c>
      <c r="E44" s="2">
        <v>15</v>
      </c>
      <c r="F44" s="2">
        <v>11.75</v>
      </c>
      <c r="G44" s="2">
        <v>15</v>
      </c>
      <c r="H44" s="5">
        <v>450</v>
      </c>
      <c r="I44" s="5">
        <v>241</v>
      </c>
      <c r="J44" s="6">
        <v>0.53555555555555556</v>
      </c>
      <c r="K44" s="5">
        <v>450</v>
      </c>
      <c r="L44" s="5">
        <v>123</v>
      </c>
      <c r="M44" s="6">
        <v>0.27333333333333332</v>
      </c>
      <c r="N44" s="5">
        <v>450</v>
      </c>
      <c r="O44" s="5">
        <v>228</v>
      </c>
      <c r="P44" s="6">
        <v>0.50666666666666671</v>
      </c>
      <c r="Q44" s="62">
        <f>N44</f>
        <v>450</v>
      </c>
      <c r="R44" s="83">
        <f t="shared" si="1"/>
        <v>237.12</v>
      </c>
      <c r="S44" s="63">
        <f>R44/Q44</f>
        <v>0.52693333333333336</v>
      </c>
      <c r="T44" s="57">
        <f>(R44-O44)/O44</f>
        <v>4.0000000000000022E-2</v>
      </c>
      <c r="U44">
        <f t="shared" si="2"/>
        <v>46.000000000000007</v>
      </c>
      <c r="V44">
        <f t="shared" si="3"/>
        <v>68.999999999999986</v>
      </c>
      <c r="W44">
        <f t="shared" si="4"/>
        <v>38.999999999999993</v>
      </c>
      <c r="X44">
        <f t="shared" si="5"/>
        <v>49.399999999999991</v>
      </c>
      <c r="Y44">
        <f t="shared" si="0"/>
        <v>5.0000000000000001E-3</v>
      </c>
      <c r="Z44">
        <f t="shared" si="6"/>
        <v>7.0000000000000142</v>
      </c>
      <c r="AA44">
        <f t="shared" si="7"/>
        <v>5.0000000000000001E-3</v>
      </c>
      <c r="AB44">
        <f t="shared" si="8"/>
        <v>4.268292682926831E-2</v>
      </c>
      <c r="AC44">
        <f t="shared" si="9"/>
        <v>4.7682926829268307E-2</v>
      </c>
      <c r="AD44">
        <f t="shared" si="10"/>
        <v>1.0876829268292683</v>
      </c>
      <c r="AE44">
        <f t="shared" si="11"/>
        <v>14.025</v>
      </c>
      <c r="AF44" s="80">
        <f t="shared" si="12"/>
        <v>15.25</v>
      </c>
    </row>
    <row r="45" spans="1:32" ht="30">
      <c r="A45" s="3">
        <v>44</v>
      </c>
      <c r="B45" s="1" t="s">
        <v>16</v>
      </c>
      <c r="C45" s="1" t="s">
        <v>59</v>
      </c>
      <c r="D45" s="2">
        <v>14.25</v>
      </c>
      <c r="E45" s="2">
        <v>14.25</v>
      </c>
      <c r="F45" s="2">
        <v>11.25</v>
      </c>
      <c r="G45" s="2">
        <v>13.5</v>
      </c>
      <c r="H45" s="5">
        <v>270</v>
      </c>
      <c r="I45" s="5">
        <v>333</v>
      </c>
      <c r="J45" s="6">
        <v>1.2333333333333334</v>
      </c>
      <c r="K45" s="5">
        <v>270</v>
      </c>
      <c r="L45" s="5">
        <v>172</v>
      </c>
      <c r="M45" s="6">
        <v>0.63703703703703707</v>
      </c>
      <c r="N45" s="5">
        <v>450</v>
      </c>
      <c r="O45" s="5">
        <v>149</v>
      </c>
      <c r="P45" s="6">
        <v>0.33111111111111113</v>
      </c>
      <c r="Q45" s="62">
        <f>N45</f>
        <v>450</v>
      </c>
      <c r="R45" s="83">
        <f t="shared" si="1"/>
        <v>154.96</v>
      </c>
      <c r="S45" s="63">
        <f>R45/Q45</f>
        <v>0.34435555555555558</v>
      </c>
      <c r="T45" s="57">
        <f>(R45-O45)/O45</f>
        <v>4.0000000000000056E-2</v>
      </c>
      <c r="U45">
        <f t="shared" si="2"/>
        <v>51</v>
      </c>
      <c r="V45">
        <f t="shared" si="3"/>
        <v>70.999999999999986</v>
      </c>
      <c r="W45">
        <f t="shared" si="4"/>
        <v>44.000000000000014</v>
      </c>
      <c r="X45">
        <f t="shared" si="5"/>
        <v>53.5</v>
      </c>
      <c r="Y45">
        <f t="shared" si="0"/>
        <v>5.0000000000000001E-3</v>
      </c>
      <c r="Z45">
        <f t="shared" si="6"/>
        <v>6.9999999999999858</v>
      </c>
      <c r="AA45">
        <f t="shared" si="7"/>
        <v>5.0000000000000001E-3</v>
      </c>
      <c r="AB45">
        <f t="shared" si="8"/>
        <v>-2.4011627906976744E-2</v>
      </c>
      <c r="AC45">
        <f t="shared" si="9"/>
        <v>-1.9011627906976743E-2</v>
      </c>
      <c r="AD45">
        <f t="shared" si="10"/>
        <v>1.0209883720930233</v>
      </c>
      <c r="AE45">
        <f t="shared" si="11"/>
        <v>12.975</v>
      </c>
      <c r="AF45" s="80">
        <f t="shared" si="12"/>
        <v>13.25</v>
      </c>
    </row>
    <row r="46" spans="1:32" ht="30">
      <c r="A46" s="3">
        <v>45</v>
      </c>
      <c r="B46" s="1" t="s">
        <v>16</v>
      </c>
      <c r="C46" s="1" t="s">
        <v>60</v>
      </c>
      <c r="D46" s="2">
        <v>19.75</v>
      </c>
      <c r="E46" s="2">
        <v>19.75</v>
      </c>
      <c r="F46" s="2">
        <v>16.25</v>
      </c>
      <c r="G46" s="2">
        <v>19.75</v>
      </c>
      <c r="H46" s="5">
        <v>455</v>
      </c>
      <c r="I46" s="5">
        <v>757</v>
      </c>
      <c r="J46" s="6">
        <v>1.6637362637362638</v>
      </c>
      <c r="K46" s="5">
        <v>455</v>
      </c>
      <c r="L46" s="5">
        <v>409</v>
      </c>
      <c r="M46" s="6">
        <v>0.89890109890109893</v>
      </c>
      <c r="N46" s="5">
        <v>595</v>
      </c>
      <c r="O46" s="5">
        <v>739</v>
      </c>
      <c r="P46" s="6">
        <v>1.2420168067226891</v>
      </c>
      <c r="Q46" s="62">
        <f>N46</f>
        <v>595</v>
      </c>
      <c r="R46" s="83">
        <f t="shared" si="1"/>
        <v>768.56000000000006</v>
      </c>
      <c r="S46" s="63">
        <f>R46/Q46</f>
        <v>1.2916974789915967</v>
      </c>
      <c r="T46" s="57">
        <f>(R46-O46)/O46</f>
        <v>4.0000000000000077E-2</v>
      </c>
      <c r="U46">
        <f t="shared" si="2"/>
        <v>15</v>
      </c>
      <c r="V46">
        <f t="shared" si="3"/>
        <v>41</v>
      </c>
      <c r="W46">
        <f t="shared" si="4"/>
        <v>20.999999999999993</v>
      </c>
      <c r="X46">
        <f t="shared" si="5"/>
        <v>25.799999999999997</v>
      </c>
      <c r="Y46">
        <f t="shared" si="0"/>
        <v>4.0000000000000001E-3</v>
      </c>
      <c r="Z46">
        <f t="shared" si="6"/>
        <v>-5.9999999999999929</v>
      </c>
      <c r="AA46">
        <f t="shared" si="7"/>
        <v>0</v>
      </c>
      <c r="AB46">
        <f t="shared" si="8"/>
        <v>1.9085286926506545E-2</v>
      </c>
      <c r="AC46">
        <f t="shared" si="9"/>
        <v>1.9085286926506545E-2</v>
      </c>
      <c r="AD46">
        <f t="shared" si="10"/>
        <v>1.0590852869265066</v>
      </c>
      <c r="AE46">
        <f t="shared" si="11"/>
        <v>18.7</v>
      </c>
      <c r="AF46" s="80">
        <f t="shared" si="12"/>
        <v>19.8</v>
      </c>
    </row>
    <row r="47" spans="1:32" ht="30">
      <c r="A47" s="3">
        <v>46</v>
      </c>
      <c r="B47" s="1" t="s">
        <v>16</v>
      </c>
      <c r="C47" s="1" t="s">
        <v>61</v>
      </c>
      <c r="D47" s="2">
        <v>16.75</v>
      </c>
      <c r="E47" s="2">
        <v>16.75</v>
      </c>
      <c r="F47" s="2">
        <v>16</v>
      </c>
      <c r="G47" s="2">
        <v>17.75</v>
      </c>
      <c r="H47" s="5">
        <v>945</v>
      </c>
      <c r="I47" s="5">
        <v>991</v>
      </c>
      <c r="J47" s="6">
        <v>1.0486772486772487</v>
      </c>
      <c r="K47" s="5">
        <v>765</v>
      </c>
      <c r="L47" s="5">
        <v>806</v>
      </c>
      <c r="M47" s="6">
        <v>1.0535947712418301</v>
      </c>
      <c r="N47" s="5">
        <v>990</v>
      </c>
      <c r="O47" s="5">
        <v>1027</v>
      </c>
      <c r="P47" s="6">
        <v>1.0373737373737373</v>
      </c>
      <c r="Q47" s="62">
        <f>N47</f>
        <v>990</v>
      </c>
      <c r="R47" s="83">
        <f t="shared" si="1"/>
        <v>1068.08</v>
      </c>
      <c r="S47" s="63">
        <f>R47/Q47</f>
        <v>1.0788686868686868</v>
      </c>
      <c r="T47" s="57">
        <f>(R47-O47)/O47</f>
        <v>3.9999999999999931E-2</v>
      </c>
      <c r="U47">
        <f t="shared" si="2"/>
        <v>33.999999999999993</v>
      </c>
      <c r="V47">
        <f t="shared" si="3"/>
        <v>43</v>
      </c>
      <c r="W47">
        <f t="shared" si="4"/>
        <v>27.999999999999986</v>
      </c>
      <c r="X47">
        <f t="shared" si="5"/>
        <v>33.699999999999989</v>
      </c>
      <c r="Y47">
        <f t="shared" si="0"/>
        <v>5.0000000000000001E-3</v>
      </c>
      <c r="Z47">
        <f t="shared" si="6"/>
        <v>6.0000000000000071</v>
      </c>
      <c r="AA47">
        <f t="shared" si="7"/>
        <v>5.0000000000000001E-3</v>
      </c>
      <c r="AB47">
        <f t="shared" si="8"/>
        <v>-7.6979472140763054E-4</v>
      </c>
      <c r="AC47">
        <f t="shared" si="9"/>
        <v>4.2302052785923696E-3</v>
      </c>
      <c r="AD47">
        <f t="shared" si="10"/>
        <v>1.0442302052785923</v>
      </c>
      <c r="AE47">
        <f t="shared" si="11"/>
        <v>17.025000000000002</v>
      </c>
      <c r="AF47" s="80">
        <f t="shared" si="12"/>
        <v>17.78</v>
      </c>
    </row>
    <row r="48" spans="1:32" ht="30">
      <c r="A48" s="3">
        <v>47</v>
      </c>
      <c r="B48" s="1" t="s">
        <v>16</v>
      </c>
      <c r="C48" s="1" t="s">
        <v>62</v>
      </c>
      <c r="D48" s="2">
        <v>15.5</v>
      </c>
      <c r="E48" s="2">
        <v>15.5</v>
      </c>
      <c r="F48" s="2">
        <v>13.75</v>
      </c>
      <c r="G48" s="2">
        <v>16.5</v>
      </c>
      <c r="H48" s="5">
        <v>855</v>
      </c>
      <c r="I48" s="5">
        <v>1139</v>
      </c>
      <c r="J48" s="6">
        <v>1.3321637426900585</v>
      </c>
      <c r="K48" s="5">
        <v>720</v>
      </c>
      <c r="L48" s="5">
        <v>680</v>
      </c>
      <c r="M48" s="6">
        <v>0.94444444444444442</v>
      </c>
      <c r="N48" s="5">
        <v>765</v>
      </c>
      <c r="O48" s="5">
        <v>849</v>
      </c>
      <c r="P48" s="6">
        <v>1.1098039215686275</v>
      </c>
      <c r="Q48" s="62">
        <f>N48</f>
        <v>765</v>
      </c>
      <c r="R48" s="83">
        <f t="shared" si="1"/>
        <v>882.96</v>
      </c>
      <c r="S48" s="63">
        <f>R48/Q48</f>
        <v>1.1541960784313725</v>
      </c>
      <c r="T48" s="57">
        <f>(R48-O48)/O48</f>
        <v>4.0000000000000042E-2</v>
      </c>
      <c r="U48">
        <f t="shared" si="2"/>
        <v>42</v>
      </c>
      <c r="V48">
        <f t="shared" si="3"/>
        <v>59.000000000000007</v>
      </c>
      <c r="W48">
        <f t="shared" si="4"/>
        <v>32.999999999999979</v>
      </c>
      <c r="X48">
        <f t="shared" si="5"/>
        <v>42.599999999999987</v>
      </c>
      <c r="Y48">
        <f t="shared" si="0"/>
        <v>5.0000000000000001E-3</v>
      </c>
      <c r="Z48">
        <f t="shared" si="6"/>
        <v>9.0000000000000213</v>
      </c>
      <c r="AA48">
        <f t="shared" si="7"/>
        <v>5.0000000000000001E-3</v>
      </c>
      <c r="AB48">
        <f t="shared" si="8"/>
        <v>8.754325259515576E-3</v>
      </c>
      <c r="AC48">
        <f t="shared" si="9"/>
        <v>1.3754325259515577E-2</v>
      </c>
      <c r="AD48">
        <f t="shared" si="10"/>
        <v>1.0537543252595156</v>
      </c>
      <c r="AE48">
        <f t="shared" si="11"/>
        <v>15.475</v>
      </c>
      <c r="AF48" s="80">
        <f t="shared" si="12"/>
        <v>16.309999999999999</v>
      </c>
    </row>
    <row r="49" spans="1:32" ht="30">
      <c r="A49" s="3">
        <v>48</v>
      </c>
      <c r="B49" s="1" t="s">
        <v>16</v>
      </c>
      <c r="C49" s="1" t="s">
        <v>63</v>
      </c>
      <c r="D49" s="2">
        <v>20.75</v>
      </c>
      <c r="E49" s="2">
        <v>20.75</v>
      </c>
      <c r="F49" s="2">
        <v>21.5</v>
      </c>
      <c r="G49" s="2">
        <v>22.5</v>
      </c>
      <c r="H49" s="5">
        <v>675</v>
      </c>
      <c r="I49" s="5">
        <v>1169</v>
      </c>
      <c r="J49" s="6">
        <v>1.7318518518518518</v>
      </c>
      <c r="K49" s="5">
        <v>450</v>
      </c>
      <c r="L49" s="5">
        <v>800</v>
      </c>
      <c r="M49" s="6">
        <v>1.7777777777777777</v>
      </c>
      <c r="N49" s="5">
        <v>765</v>
      </c>
      <c r="O49" s="5">
        <v>1471</v>
      </c>
      <c r="P49" s="6">
        <v>1.9228758169934641</v>
      </c>
      <c r="Q49" s="62">
        <f>N49</f>
        <v>765</v>
      </c>
      <c r="R49" s="83">
        <f t="shared" si="1"/>
        <v>1529.8400000000001</v>
      </c>
      <c r="S49" s="63">
        <f>R49/Q49</f>
        <v>1.9997908496732029</v>
      </c>
      <c r="T49" s="57">
        <f>(R49-O49)/O49</f>
        <v>4.0000000000000098E-2</v>
      </c>
      <c r="U49">
        <f t="shared" si="2"/>
        <v>10</v>
      </c>
      <c r="V49">
        <f t="shared" si="3"/>
        <v>10</v>
      </c>
      <c r="W49">
        <f t="shared" si="4"/>
        <v>10</v>
      </c>
      <c r="X49">
        <f t="shared" si="5"/>
        <v>10</v>
      </c>
      <c r="Y49">
        <f t="shared" si="0"/>
        <v>2E-3</v>
      </c>
      <c r="Z49">
        <f t="shared" si="6"/>
        <v>0</v>
      </c>
      <c r="AA49">
        <f t="shared" si="7"/>
        <v>0</v>
      </c>
      <c r="AB49">
        <f t="shared" si="8"/>
        <v>1.2242647058823542E-3</v>
      </c>
      <c r="AC49">
        <f t="shared" si="9"/>
        <v>1.2242647058823542E-3</v>
      </c>
      <c r="AD49">
        <f t="shared" si="10"/>
        <v>1.0412242647058825</v>
      </c>
      <c r="AE49">
        <f t="shared" si="11"/>
        <v>21.85</v>
      </c>
      <c r="AF49" s="80">
        <f t="shared" si="12"/>
        <v>22.75</v>
      </c>
    </row>
    <row r="50" spans="1:32" ht="30">
      <c r="A50" s="3">
        <v>49</v>
      </c>
      <c r="B50" s="1" t="s">
        <v>16</v>
      </c>
      <c r="C50" s="1" t="s">
        <v>64</v>
      </c>
      <c r="D50" s="2">
        <v>18</v>
      </c>
      <c r="E50" s="2">
        <v>18</v>
      </c>
      <c r="F50" s="2">
        <v>17.25</v>
      </c>
      <c r="G50" s="2">
        <v>19.25</v>
      </c>
      <c r="H50" s="5">
        <v>900</v>
      </c>
      <c r="I50" s="5">
        <v>1571</v>
      </c>
      <c r="J50" s="6">
        <v>1.7455555555555555</v>
      </c>
      <c r="K50" s="5">
        <v>900</v>
      </c>
      <c r="L50" s="5">
        <v>1171</v>
      </c>
      <c r="M50" s="6">
        <v>1.3011111111111111</v>
      </c>
      <c r="N50" s="5">
        <v>900</v>
      </c>
      <c r="O50" s="5">
        <v>1653</v>
      </c>
      <c r="P50" s="6">
        <v>1.8366666666666667</v>
      </c>
      <c r="Q50" s="62">
        <f>N50</f>
        <v>900</v>
      </c>
      <c r="R50" s="83">
        <f t="shared" si="1"/>
        <v>1719.1200000000001</v>
      </c>
      <c r="S50" s="63">
        <f>R50/Q50</f>
        <v>1.9101333333333335</v>
      </c>
      <c r="T50" s="57">
        <f>(R50-O50)/O50</f>
        <v>4.000000000000007E-2</v>
      </c>
      <c r="U50">
        <f t="shared" si="2"/>
        <v>24</v>
      </c>
      <c r="V50">
        <f t="shared" si="3"/>
        <v>34</v>
      </c>
      <c r="W50">
        <f t="shared" si="4"/>
        <v>21.999999999999989</v>
      </c>
      <c r="X50">
        <f t="shared" si="5"/>
        <v>25.999999999999996</v>
      </c>
      <c r="Y50">
        <f t="shared" si="0"/>
        <v>4.0000000000000001E-3</v>
      </c>
      <c r="Z50">
        <f t="shared" si="6"/>
        <v>2.0000000000000107</v>
      </c>
      <c r="AA50">
        <f t="shared" si="7"/>
        <v>2E-3</v>
      </c>
      <c r="AB50">
        <f t="shared" si="8"/>
        <v>2.0580700256191291E-2</v>
      </c>
      <c r="AC50">
        <f t="shared" si="9"/>
        <v>2.2580700256191293E-2</v>
      </c>
      <c r="AD50">
        <f t="shared" si="10"/>
        <v>1.0625807002561913</v>
      </c>
      <c r="AE50">
        <f t="shared" si="11"/>
        <v>18.400000000000002</v>
      </c>
      <c r="AF50" s="80">
        <f t="shared" si="12"/>
        <v>19.55</v>
      </c>
    </row>
    <row r="51" spans="1:32" s="13" customFormat="1" ht="30">
      <c r="A51" s="3">
        <v>50</v>
      </c>
      <c r="B51" s="9" t="s">
        <v>16</v>
      </c>
      <c r="C51" s="9" t="s">
        <v>65</v>
      </c>
      <c r="D51" s="10">
        <v>16</v>
      </c>
      <c r="E51" s="10">
        <v>16</v>
      </c>
      <c r="F51" s="10">
        <v>16</v>
      </c>
      <c r="G51" s="10">
        <v>16</v>
      </c>
      <c r="H51" s="11">
        <f>N51</f>
        <v>810</v>
      </c>
      <c r="I51" s="11">
        <f>H51</f>
        <v>810</v>
      </c>
      <c r="J51" s="11">
        <f>I51/H51</f>
        <v>1</v>
      </c>
      <c r="K51" s="11">
        <f>N51</f>
        <v>810</v>
      </c>
      <c r="L51" s="11">
        <f>N51</f>
        <v>810</v>
      </c>
      <c r="M51" s="12">
        <f>L51/K51</f>
        <v>1</v>
      </c>
      <c r="N51" s="11">
        <v>810</v>
      </c>
      <c r="O51" s="11">
        <f>N51</f>
        <v>810</v>
      </c>
      <c r="P51" s="12">
        <f>O51/N51</f>
        <v>1</v>
      </c>
      <c r="Q51" s="62">
        <f>N51</f>
        <v>810</v>
      </c>
      <c r="R51" s="83">
        <f t="shared" si="1"/>
        <v>842.4</v>
      </c>
      <c r="S51" s="63">
        <f>R51/Q51</f>
        <v>1.04</v>
      </c>
      <c r="T51" s="57">
        <f>(R51-O51)/O51</f>
        <v>3.9999999999999973E-2</v>
      </c>
      <c r="U51">
        <f t="shared" si="2"/>
        <v>39.999999999999993</v>
      </c>
      <c r="V51">
        <f t="shared" si="3"/>
        <v>43</v>
      </c>
      <c r="W51">
        <f t="shared" si="4"/>
        <v>34.999999999999972</v>
      </c>
      <c r="X51">
        <f t="shared" si="5"/>
        <v>38.399999999999984</v>
      </c>
      <c r="Y51">
        <f t="shared" si="0"/>
        <v>5.0000000000000001E-3</v>
      </c>
      <c r="Z51">
        <f t="shared" si="6"/>
        <v>5.0000000000000213</v>
      </c>
      <c r="AA51">
        <f t="shared" si="7"/>
        <v>5.0000000000000001E-3</v>
      </c>
      <c r="AB51">
        <f t="shared" si="8"/>
        <v>0</v>
      </c>
      <c r="AC51">
        <f t="shared" si="9"/>
        <v>5.0000000000000001E-3</v>
      </c>
      <c r="AD51">
        <f t="shared" si="10"/>
        <v>1.0449999999999999</v>
      </c>
      <c r="AE51">
        <f t="shared" si="11"/>
        <v>16</v>
      </c>
      <c r="AF51" s="80">
        <f t="shared" si="12"/>
        <v>16.72</v>
      </c>
    </row>
    <row r="52" spans="1:32" s="13" customFormat="1" ht="30">
      <c r="A52" s="3">
        <v>51</v>
      </c>
      <c r="B52" s="9" t="s">
        <v>16</v>
      </c>
      <c r="C52" s="9" t="s">
        <v>66</v>
      </c>
      <c r="D52" s="10">
        <f>G52</f>
        <v>16.25</v>
      </c>
      <c r="E52" s="10">
        <f>D52</f>
        <v>16.25</v>
      </c>
      <c r="F52" s="10">
        <f>G52</f>
        <v>16.25</v>
      </c>
      <c r="G52" s="10">
        <v>16.25</v>
      </c>
      <c r="H52" s="11">
        <v>450</v>
      </c>
      <c r="I52" s="11">
        <v>450</v>
      </c>
      <c r="J52" s="11">
        <f>I52/H52</f>
        <v>1</v>
      </c>
      <c r="K52" s="11">
        <f>H52</f>
        <v>450</v>
      </c>
      <c r="L52" s="11">
        <f>I52</f>
        <v>450</v>
      </c>
      <c r="M52" s="12">
        <f>L52/K52</f>
        <v>1</v>
      </c>
      <c r="N52" s="11">
        <v>450</v>
      </c>
      <c r="O52" s="11">
        <f>N52</f>
        <v>450</v>
      </c>
      <c r="P52" s="12">
        <f>O52/N52</f>
        <v>1</v>
      </c>
      <c r="Q52" s="62">
        <f>N52</f>
        <v>450</v>
      </c>
      <c r="R52" s="83">
        <f t="shared" si="1"/>
        <v>468</v>
      </c>
      <c r="S52" s="63">
        <f>R52/Q52</f>
        <v>1.04</v>
      </c>
      <c r="T52" s="57">
        <f>(R52-O52)/O52</f>
        <v>0.04</v>
      </c>
      <c r="U52">
        <f t="shared" si="2"/>
        <v>37</v>
      </c>
      <c r="V52">
        <f t="shared" si="3"/>
        <v>41</v>
      </c>
      <c r="W52">
        <f t="shared" si="4"/>
        <v>33.999999999999979</v>
      </c>
      <c r="X52">
        <f t="shared" si="5"/>
        <v>36.699999999999989</v>
      </c>
      <c r="Y52">
        <f t="shared" si="0"/>
        <v>5.0000000000000001E-3</v>
      </c>
      <c r="Z52">
        <f t="shared" si="6"/>
        <v>3.0000000000000213</v>
      </c>
      <c r="AA52">
        <f t="shared" si="7"/>
        <v>2.5000000000000001E-3</v>
      </c>
      <c r="AB52">
        <f t="shared" si="8"/>
        <v>0</v>
      </c>
      <c r="AC52">
        <f t="shared" si="9"/>
        <v>2.5000000000000001E-3</v>
      </c>
      <c r="AD52">
        <f t="shared" si="10"/>
        <v>1.0425</v>
      </c>
      <c r="AE52">
        <f t="shared" si="11"/>
        <v>16.25</v>
      </c>
      <c r="AF52" s="80">
        <f t="shared" si="12"/>
        <v>16.940000000000001</v>
      </c>
    </row>
    <row r="53" spans="1:32" ht="30">
      <c r="A53" s="3">
        <v>52</v>
      </c>
      <c r="B53" s="1" t="s">
        <v>16</v>
      </c>
      <c r="C53" s="1" t="s">
        <v>67</v>
      </c>
      <c r="D53" s="2">
        <v>16.25</v>
      </c>
      <c r="E53" s="2">
        <v>16.25</v>
      </c>
      <c r="F53" s="2">
        <v>15.5</v>
      </c>
      <c r="G53" s="2">
        <v>17.5</v>
      </c>
      <c r="H53" s="5">
        <v>765</v>
      </c>
      <c r="I53" s="5">
        <v>1554</v>
      </c>
      <c r="J53" s="6">
        <v>2.0313725490196077</v>
      </c>
      <c r="K53" s="5">
        <v>765</v>
      </c>
      <c r="L53" s="5">
        <v>1252</v>
      </c>
      <c r="M53" s="6">
        <v>1.6366013071895424</v>
      </c>
      <c r="N53" s="5">
        <v>810</v>
      </c>
      <c r="O53" s="5">
        <v>1708</v>
      </c>
      <c r="P53" s="6">
        <v>2.1086419753086418</v>
      </c>
      <c r="Q53" s="62">
        <f>N53</f>
        <v>810</v>
      </c>
      <c r="R53" s="83">
        <f t="shared" si="1"/>
        <v>1776.3200000000002</v>
      </c>
      <c r="S53" s="63">
        <f>R53/Q53</f>
        <v>2.1929876543209881</v>
      </c>
      <c r="T53">
        <f>(R53-O53)/O53</f>
        <v>4.0000000000000098E-2</v>
      </c>
      <c r="U53">
        <f t="shared" si="2"/>
        <v>37</v>
      </c>
      <c r="V53">
        <f t="shared" si="3"/>
        <v>46.000000000000007</v>
      </c>
      <c r="W53">
        <f t="shared" si="4"/>
        <v>28.999999999999986</v>
      </c>
      <c r="X53">
        <f t="shared" si="5"/>
        <v>35.699999999999996</v>
      </c>
      <c r="Y53">
        <f t="shared" si="0"/>
        <v>5.0000000000000001E-3</v>
      </c>
      <c r="Z53">
        <f t="shared" si="6"/>
        <v>8.0000000000000142</v>
      </c>
      <c r="AA53">
        <f t="shared" si="7"/>
        <v>5.0000000000000001E-3</v>
      </c>
      <c r="AB53">
        <f t="shared" si="8"/>
        <v>1.4421370252041177E-2</v>
      </c>
      <c r="AC53">
        <f t="shared" si="9"/>
        <v>1.9421370252041176E-2</v>
      </c>
      <c r="AD53">
        <f t="shared" si="10"/>
        <v>1.0594213702520412</v>
      </c>
      <c r="AE53">
        <f t="shared" si="11"/>
        <v>16.649999999999999</v>
      </c>
      <c r="AF53" s="80">
        <f t="shared" si="12"/>
        <v>17.64</v>
      </c>
    </row>
    <row r="54" spans="1:32" ht="30">
      <c r="A54" s="3">
        <v>53</v>
      </c>
      <c r="B54" s="1" t="s">
        <v>16</v>
      </c>
      <c r="C54" s="1" t="s">
        <v>68</v>
      </c>
      <c r="D54" s="2">
        <v>15</v>
      </c>
      <c r="E54" s="2">
        <v>15</v>
      </c>
      <c r="F54" s="2">
        <v>13.75</v>
      </c>
      <c r="G54" s="2">
        <v>16.25</v>
      </c>
      <c r="H54" s="5">
        <v>810</v>
      </c>
      <c r="I54" s="5">
        <v>692</v>
      </c>
      <c r="J54" s="6">
        <v>0.85432098765432096</v>
      </c>
      <c r="K54" s="5">
        <v>495</v>
      </c>
      <c r="L54" s="5">
        <v>490</v>
      </c>
      <c r="M54" s="6">
        <v>0.98989898989898994</v>
      </c>
      <c r="N54" s="5">
        <v>720</v>
      </c>
      <c r="O54" s="5">
        <v>592</v>
      </c>
      <c r="P54" s="6">
        <v>0.82222222222222219</v>
      </c>
      <c r="Q54" s="62">
        <f>N54</f>
        <v>720</v>
      </c>
      <c r="R54" s="83">
        <f t="shared" si="1"/>
        <v>615.68000000000006</v>
      </c>
      <c r="S54" s="63">
        <f>R54/Q54</f>
        <v>0.85511111111111116</v>
      </c>
      <c r="T54">
        <f>(R54-O54)/O54</f>
        <v>4.0000000000000105E-2</v>
      </c>
      <c r="U54">
        <f t="shared" si="2"/>
        <v>46.000000000000007</v>
      </c>
      <c r="V54">
        <f t="shared" si="3"/>
        <v>59.000000000000007</v>
      </c>
      <c r="W54">
        <f t="shared" si="4"/>
        <v>33.999999999999979</v>
      </c>
      <c r="X54">
        <f t="shared" si="5"/>
        <v>43.899999999999991</v>
      </c>
      <c r="Y54">
        <f t="shared" si="0"/>
        <v>5.0000000000000001E-3</v>
      </c>
      <c r="Z54">
        <f t="shared" si="6"/>
        <v>12.000000000000028</v>
      </c>
      <c r="AA54">
        <f t="shared" si="7"/>
        <v>5.0000000000000001E-3</v>
      </c>
      <c r="AB54">
        <f t="shared" si="8"/>
        <v>-8.4693877551020435E-3</v>
      </c>
      <c r="AC54">
        <f t="shared" si="9"/>
        <v>-3.4693877551020434E-3</v>
      </c>
      <c r="AD54">
        <f t="shared" si="10"/>
        <v>1.0365306122448981</v>
      </c>
      <c r="AE54">
        <f t="shared" si="11"/>
        <v>15.25</v>
      </c>
      <c r="AF54" s="80">
        <f t="shared" si="12"/>
        <v>15.81</v>
      </c>
    </row>
    <row r="55" spans="1:32" ht="30">
      <c r="A55" s="3">
        <v>54</v>
      </c>
      <c r="B55" s="1" t="s">
        <v>16</v>
      </c>
      <c r="C55" s="1" t="s">
        <v>69</v>
      </c>
      <c r="D55" s="2">
        <v>19.5</v>
      </c>
      <c r="E55" s="2">
        <v>19.5</v>
      </c>
      <c r="F55" s="2">
        <v>17.75</v>
      </c>
      <c r="G55" s="2">
        <v>21</v>
      </c>
      <c r="H55" s="5">
        <v>900</v>
      </c>
      <c r="I55" s="5">
        <v>1139</v>
      </c>
      <c r="J55" s="6">
        <v>1.2655555555555555</v>
      </c>
      <c r="K55" s="5">
        <v>855</v>
      </c>
      <c r="L55" s="5">
        <v>879</v>
      </c>
      <c r="M55" s="6">
        <v>1.0280701754385966</v>
      </c>
      <c r="N55" s="5">
        <v>855</v>
      </c>
      <c r="O55" s="5">
        <v>1195</v>
      </c>
      <c r="P55" s="6">
        <v>1.3976608187134503</v>
      </c>
      <c r="Q55" s="62">
        <f>N55</f>
        <v>855</v>
      </c>
      <c r="R55" s="83">
        <f t="shared" si="1"/>
        <v>1242.8</v>
      </c>
      <c r="S55" s="63">
        <f>R55/Q55</f>
        <v>1.4535672514619882</v>
      </c>
      <c r="T55">
        <f>(R55-O55)/O55</f>
        <v>3.9999999999999959E-2</v>
      </c>
      <c r="U55">
        <f t="shared" si="2"/>
        <v>16</v>
      </c>
      <c r="V55">
        <f t="shared" si="3"/>
        <v>28</v>
      </c>
      <c r="W55">
        <f t="shared" si="4"/>
        <v>16.000000000000004</v>
      </c>
      <c r="X55">
        <f t="shared" si="5"/>
        <v>19.600000000000001</v>
      </c>
      <c r="Y55">
        <f t="shared" si="0"/>
        <v>3.0000000000000001E-3</v>
      </c>
      <c r="Z55">
        <f t="shared" si="6"/>
        <v>0</v>
      </c>
      <c r="AA55">
        <f t="shared" si="7"/>
        <v>0</v>
      </c>
      <c r="AB55">
        <f t="shared" si="8"/>
        <v>2.156996587030716E-2</v>
      </c>
      <c r="AC55">
        <f t="shared" si="9"/>
        <v>2.156996587030716E-2</v>
      </c>
      <c r="AD55">
        <f t="shared" si="10"/>
        <v>1.0615699658703073</v>
      </c>
      <c r="AE55">
        <f t="shared" si="11"/>
        <v>19.725000000000001</v>
      </c>
      <c r="AF55" s="80">
        <f t="shared" si="12"/>
        <v>20.94</v>
      </c>
    </row>
    <row r="56" spans="1:32" ht="30">
      <c r="A56" s="3">
        <v>55</v>
      </c>
      <c r="B56" s="1" t="s">
        <v>16</v>
      </c>
      <c r="C56" s="1" t="s">
        <v>70</v>
      </c>
      <c r="D56" s="2">
        <v>23</v>
      </c>
      <c r="E56" s="2">
        <v>23</v>
      </c>
      <c r="F56" s="2">
        <v>18.75</v>
      </c>
      <c r="G56" s="2">
        <v>23.5</v>
      </c>
      <c r="H56" s="5">
        <v>540</v>
      </c>
      <c r="I56" s="5">
        <v>1308</v>
      </c>
      <c r="J56" s="6">
        <v>2.4222222222222221</v>
      </c>
      <c r="K56" s="5">
        <v>855</v>
      </c>
      <c r="L56" s="5">
        <v>941</v>
      </c>
      <c r="M56" s="6">
        <v>1.1005847953216374</v>
      </c>
      <c r="N56" s="5">
        <v>855</v>
      </c>
      <c r="O56" s="5">
        <v>1775</v>
      </c>
      <c r="P56" s="6">
        <v>2.0760233918128654</v>
      </c>
      <c r="Q56" s="62">
        <f>N56</f>
        <v>855</v>
      </c>
      <c r="R56" s="83">
        <f t="shared" si="1"/>
        <v>1846</v>
      </c>
      <c r="S56" s="63">
        <f>R56/Q56</f>
        <v>2.15906432748538</v>
      </c>
      <c r="T56">
        <f>(R56-O56)/O56</f>
        <v>0.04</v>
      </c>
      <c r="U56">
        <f t="shared" si="2"/>
        <v>5</v>
      </c>
      <c r="V56">
        <f t="shared" si="3"/>
        <v>21</v>
      </c>
      <c r="W56">
        <f t="shared" si="4"/>
        <v>5.9999999999999991</v>
      </c>
      <c r="X56">
        <f t="shared" si="5"/>
        <v>10.299999999999999</v>
      </c>
      <c r="Y56">
        <f t="shared" si="0"/>
        <v>3.0000000000000001E-3</v>
      </c>
      <c r="Z56">
        <f t="shared" si="6"/>
        <v>-0.99999999999999911</v>
      </c>
      <c r="AA56">
        <f t="shared" si="7"/>
        <v>0</v>
      </c>
      <c r="AB56">
        <f t="shared" si="8"/>
        <v>5.3177470775770452E-2</v>
      </c>
      <c r="AC56">
        <f t="shared" si="9"/>
        <v>5.3177470775770452E-2</v>
      </c>
      <c r="AD56">
        <f t="shared" si="10"/>
        <v>1.0931774707757704</v>
      </c>
      <c r="AE56">
        <f t="shared" si="11"/>
        <v>21.975000000000001</v>
      </c>
      <c r="AF56" s="88">
        <f t="shared" si="12"/>
        <v>24.02</v>
      </c>
    </row>
    <row r="57" spans="1:32" ht="30">
      <c r="A57" s="3">
        <v>56</v>
      </c>
      <c r="B57" s="1" t="s">
        <v>16</v>
      </c>
      <c r="C57" s="1" t="s">
        <v>71</v>
      </c>
      <c r="D57" s="2">
        <v>16</v>
      </c>
      <c r="E57" s="2">
        <v>16</v>
      </c>
      <c r="F57" s="2">
        <v>13.5</v>
      </c>
      <c r="G57" s="2">
        <v>17.5</v>
      </c>
      <c r="H57" s="5">
        <v>675</v>
      </c>
      <c r="I57" s="5">
        <v>692</v>
      </c>
      <c r="J57" s="6">
        <v>1.0251851851851852</v>
      </c>
      <c r="K57" s="5">
        <v>675</v>
      </c>
      <c r="L57" s="5">
        <v>485</v>
      </c>
      <c r="M57" s="6">
        <v>0.71851851851851856</v>
      </c>
      <c r="N57" s="5">
        <v>810</v>
      </c>
      <c r="O57" s="5">
        <v>627</v>
      </c>
      <c r="P57" s="6">
        <v>0.77407407407407403</v>
      </c>
      <c r="Q57" s="62">
        <f>N57</f>
        <v>810</v>
      </c>
      <c r="R57" s="83">
        <f t="shared" si="1"/>
        <v>652.08000000000004</v>
      </c>
      <c r="S57" s="63">
        <f>R57/Q57</f>
        <v>0.80503703703703711</v>
      </c>
      <c r="T57">
        <f>(R57-O57)/O57</f>
        <v>4.0000000000000063E-2</v>
      </c>
      <c r="U57">
        <f t="shared" si="2"/>
        <v>39.999999999999993</v>
      </c>
      <c r="V57">
        <f t="shared" si="3"/>
        <v>60</v>
      </c>
      <c r="W57">
        <f t="shared" si="4"/>
        <v>28.999999999999986</v>
      </c>
      <c r="X57">
        <f t="shared" si="5"/>
        <v>40.499999999999993</v>
      </c>
      <c r="Y57">
        <f t="shared" si="0"/>
        <v>5.0000000000000001E-3</v>
      </c>
      <c r="Z57">
        <f t="shared" si="6"/>
        <v>11.000000000000007</v>
      </c>
      <c r="AA57">
        <f t="shared" si="7"/>
        <v>5.0000000000000001E-3</v>
      </c>
      <c r="AB57">
        <f t="shared" si="8"/>
        <v>3.865979381443293E-3</v>
      </c>
      <c r="AC57">
        <f t="shared" si="9"/>
        <v>8.8659793814432931E-3</v>
      </c>
      <c r="AD57">
        <f t="shared" si="10"/>
        <v>1.0488659793814434</v>
      </c>
      <c r="AE57">
        <f t="shared" si="11"/>
        <v>16</v>
      </c>
      <c r="AF57" s="80">
        <f t="shared" si="12"/>
        <v>16.78</v>
      </c>
    </row>
    <row r="58" spans="1:32" ht="30">
      <c r="A58" s="3">
        <v>57</v>
      </c>
      <c r="B58" s="1" t="s">
        <v>16</v>
      </c>
      <c r="C58" s="1" t="s">
        <v>72</v>
      </c>
      <c r="D58" s="2">
        <v>17.25</v>
      </c>
      <c r="E58" s="2">
        <v>17.25</v>
      </c>
      <c r="F58" s="2">
        <v>14.75</v>
      </c>
      <c r="G58" s="2">
        <v>18</v>
      </c>
      <c r="H58" s="5">
        <v>630</v>
      </c>
      <c r="I58" s="5">
        <v>820</v>
      </c>
      <c r="J58" s="6">
        <v>1.3015873015873016</v>
      </c>
      <c r="K58" s="5">
        <v>675</v>
      </c>
      <c r="L58" s="5">
        <v>619</v>
      </c>
      <c r="M58" s="6">
        <v>0.91703703703703698</v>
      </c>
      <c r="N58" s="5">
        <v>900</v>
      </c>
      <c r="O58" s="5">
        <v>856</v>
      </c>
      <c r="P58" s="6">
        <v>0.95111111111111113</v>
      </c>
      <c r="Q58" s="62">
        <f>N58</f>
        <v>900</v>
      </c>
      <c r="R58" s="83">
        <f t="shared" si="1"/>
        <v>890.24</v>
      </c>
      <c r="S58" s="63">
        <f>R58/Q58</f>
        <v>0.98915555555555557</v>
      </c>
      <c r="T58">
        <f>(R58-O58)/O58</f>
        <v>4.0000000000000008E-2</v>
      </c>
      <c r="U58">
        <f t="shared" si="2"/>
        <v>28.999999999999996</v>
      </c>
      <c r="V58">
        <f t="shared" si="3"/>
        <v>52.000000000000007</v>
      </c>
      <c r="W58">
        <f t="shared" si="4"/>
        <v>26.999999999999989</v>
      </c>
      <c r="X58">
        <f t="shared" si="5"/>
        <v>34.899999999999991</v>
      </c>
      <c r="Y58">
        <f t="shared" si="0"/>
        <v>5.0000000000000001E-3</v>
      </c>
      <c r="Z58">
        <f t="shared" si="6"/>
        <v>2.0000000000000071</v>
      </c>
      <c r="AA58">
        <f t="shared" si="7"/>
        <v>2.5000000000000001E-3</v>
      </c>
      <c r="AB58">
        <f t="shared" si="8"/>
        <v>1.8578352180937036E-3</v>
      </c>
      <c r="AC58">
        <f t="shared" si="9"/>
        <v>4.3578352180937037E-3</v>
      </c>
      <c r="AD58">
        <f t="shared" si="10"/>
        <v>1.0443578352180938</v>
      </c>
      <c r="AE58">
        <f t="shared" si="11"/>
        <v>16.875</v>
      </c>
      <c r="AF58" s="80">
        <f t="shared" si="12"/>
        <v>17.62</v>
      </c>
    </row>
    <row r="59" spans="1:32" ht="30">
      <c r="A59" s="3">
        <v>58</v>
      </c>
      <c r="B59" s="1" t="s">
        <v>16</v>
      </c>
      <c r="C59" s="1" t="s">
        <v>73</v>
      </c>
      <c r="D59" s="2">
        <v>18.25</v>
      </c>
      <c r="E59" s="2">
        <v>18.25</v>
      </c>
      <c r="F59" s="2">
        <v>16.75</v>
      </c>
      <c r="G59" s="2">
        <v>20.75</v>
      </c>
      <c r="H59" s="5">
        <v>1035</v>
      </c>
      <c r="I59" s="5">
        <v>1212</v>
      </c>
      <c r="J59" s="6">
        <v>1.1710144927536232</v>
      </c>
      <c r="K59" s="5">
        <v>855</v>
      </c>
      <c r="L59" s="5">
        <v>894</v>
      </c>
      <c r="M59" s="6">
        <v>1.0456140350877192</v>
      </c>
      <c r="N59" s="5">
        <v>855</v>
      </c>
      <c r="O59" s="5">
        <v>1351</v>
      </c>
      <c r="P59" s="6">
        <v>1.5801169590643276</v>
      </c>
      <c r="Q59" s="62">
        <f>N59</f>
        <v>855</v>
      </c>
      <c r="R59" s="83">
        <f t="shared" si="1"/>
        <v>1405.04</v>
      </c>
      <c r="S59" s="63">
        <f>R59/Q59</f>
        <v>1.6433216374269006</v>
      </c>
      <c r="T59">
        <f>(R59-O59)/O59</f>
        <v>3.9999999999999973E-2</v>
      </c>
      <c r="U59">
        <f t="shared" si="2"/>
        <v>22</v>
      </c>
      <c r="V59">
        <f t="shared" si="3"/>
        <v>38</v>
      </c>
      <c r="W59">
        <f t="shared" si="4"/>
        <v>17.000000000000004</v>
      </c>
      <c r="X59">
        <f t="shared" si="5"/>
        <v>24.300000000000004</v>
      </c>
      <c r="Y59">
        <f t="shared" si="0"/>
        <v>4.0000000000000001E-3</v>
      </c>
      <c r="Z59">
        <f t="shared" si="6"/>
        <v>4.9999999999999964</v>
      </c>
      <c r="AA59">
        <f t="shared" si="7"/>
        <v>4.0000000000000001E-3</v>
      </c>
      <c r="AB59">
        <f t="shared" si="8"/>
        <v>2.5559284116331106E-2</v>
      </c>
      <c r="AC59">
        <f t="shared" si="9"/>
        <v>2.9559284116331106E-2</v>
      </c>
      <c r="AD59">
        <f t="shared" si="10"/>
        <v>1.0695592841163311</v>
      </c>
      <c r="AE59">
        <f t="shared" si="11"/>
        <v>19.049999999999997</v>
      </c>
      <c r="AF59" s="80">
        <f t="shared" si="12"/>
        <v>20.38</v>
      </c>
    </row>
    <row r="60" spans="1:32" ht="30">
      <c r="A60" s="3">
        <v>59</v>
      </c>
      <c r="B60" s="1" t="s">
        <v>16</v>
      </c>
      <c r="C60" s="1" t="s">
        <v>74</v>
      </c>
      <c r="D60" s="2">
        <v>16.5</v>
      </c>
      <c r="E60" s="2">
        <v>16.5</v>
      </c>
      <c r="F60" s="2">
        <v>15.75</v>
      </c>
      <c r="G60" s="2">
        <v>18</v>
      </c>
      <c r="H60" s="5">
        <v>720</v>
      </c>
      <c r="I60" s="5">
        <v>678</v>
      </c>
      <c r="J60" s="6">
        <v>0.94166666666666665</v>
      </c>
      <c r="K60" s="5">
        <v>630</v>
      </c>
      <c r="L60" s="5">
        <v>551</v>
      </c>
      <c r="M60" s="6">
        <v>0.8746031746031746</v>
      </c>
      <c r="N60" s="5">
        <v>675</v>
      </c>
      <c r="O60" s="5">
        <v>794</v>
      </c>
      <c r="P60" s="6">
        <v>1.1762962962962964</v>
      </c>
      <c r="Q60" s="62">
        <f>N60</f>
        <v>675</v>
      </c>
      <c r="R60" s="83">
        <f t="shared" si="1"/>
        <v>825.76</v>
      </c>
      <c r="S60" s="63">
        <f>R60/Q60</f>
        <v>1.2233481481481481</v>
      </c>
      <c r="T60">
        <f>(R60-O60)/O60</f>
        <v>3.9999999999999987E-2</v>
      </c>
      <c r="U60">
        <f t="shared" si="2"/>
        <v>36</v>
      </c>
      <c r="V60">
        <f t="shared" si="3"/>
        <v>45.000000000000007</v>
      </c>
      <c r="W60">
        <f t="shared" si="4"/>
        <v>26.999999999999989</v>
      </c>
      <c r="X60">
        <f t="shared" si="5"/>
        <v>34.199999999999996</v>
      </c>
      <c r="Y60">
        <f t="shared" si="0"/>
        <v>5.0000000000000001E-3</v>
      </c>
      <c r="Z60">
        <f t="shared" si="6"/>
        <v>9.0000000000000107</v>
      </c>
      <c r="AA60">
        <f t="shared" si="7"/>
        <v>5.0000000000000001E-3</v>
      </c>
      <c r="AB60">
        <f t="shared" si="8"/>
        <v>1.7247428917120392E-2</v>
      </c>
      <c r="AC60">
        <f t="shared" si="9"/>
        <v>2.2247428917120393E-2</v>
      </c>
      <c r="AD60">
        <f t="shared" si="10"/>
        <v>1.0622474289171204</v>
      </c>
      <c r="AE60">
        <f t="shared" si="11"/>
        <v>17.024999999999999</v>
      </c>
      <c r="AF60" s="80">
        <f t="shared" si="12"/>
        <v>18.079999999999998</v>
      </c>
    </row>
    <row r="61" spans="1:32" ht="30">
      <c r="A61" s="3">
        <v>60</v>
      </c>
      <c r="B61" s="1" t="s">
        <v>16</v>
      </c>
      <c r="C61" s="1" t="s">
        <v>75</v>
      </c>
      <c r="D61" s="2">
        <v>20.25</v>
      </c>
      <c r="E61" s="2">
        <v>20.25</v>
      </c>
      <c r="F61" s="2">
        <v>20</v>
      </c>
      <c r="G61" s="2">
        <v>22</v>
      </c>
      <c r="H61" s="5">
        <v>900</v>
      </c>
      <c r="I61" s="5">
        <v>1271</v>
      </c>
      <c r="J61" s="6">
        <v>1.4122222222222223</v>
      </c>
      <c r="K61" s="5">
        <v>855</v>
      </c>
      <c r="L61" s="5">
        <v>1106</v>
      </c>
      <c r="M61" s="6">
        <v>1.2935672514619883</v>
      </c>
      <c r="N61" s="5">
        <v>855</v>
      </c>
      <c r="O61" s="5">
        <v>1567</v>
      </c>
      <c r="P61" s="6">
        <v>1.8327485380116959</v>
      </c>
      <c r="Q61" s="62">
        <f>N61</f>
        <v>855</v>
      </c>
      <c r="R61" s="83">
        <f t="shared" si="1"/>
        <v>1629.68</v>
      </c>
      <c r="S61" s="63">
        <f>R61/Q61</f>
        <v>1.9060584795321638</v>
      </c>
      <c r="T61">
        <f>(R61-O61)/O61</f>
        <v>4.0000000000000042E-2</v>
      </c>
      <c r="U61">
        <f t="shared" si="2"/>
        <v>12</v>
      </c>
      <c r="V61">
        <f t="shared" si="3"/>
        <v>15</v>
      </c>
      <c r="W61">
        <f t="shared" si="4"/>
        <v>12</v>
      </c>
      <c r="X61">
        <f t="shared" si="5"/>
        <v>12.9</v>
      </c>
      <c r="Y61">
        <f t="shared" si="0"/>
        <v>3.0000000000000001E-3</v>
      </c>
      <c r="Z61">
        <f t="shared" si="6"/>
        <v>0</v>
      </c>
      <c r="AA61">
        <f t="shared" si="7"/>
        <v>0</v>
      </c>
      <c r="AB61">
        <f t="shared" si="8"/>
        <v>2.5009041591320075E-2</v>
      </c>
      <c r="AC61">
        <f t="shared" si="9"/>
        <v>2.5009041591320075E-2</v>
      </c>
      <c r="AD61">
        <f t="shared" si="10"/>
        <v>1.06500904159132</v>
      </c>
      <c r="AE61">
        <f t="shared" si="11"/>
        <v>21.05</v>
      </c>
      <c r="AF61" s="80">
        <f t="shared" si="12"/>
        <v>22.42</v>
      </c>
    </row>
    <row r="62" spans="1:32" ht="30">
      <c r="A62" s="3">
        <v>61</v>
      </c>
      <c r="B62" s="1" t="s">
        <v>16</v>
      </c>
      <c r="C62" s="1" t="s">
        <v>76</v>
      </c>
      <c r="D62" s="2">
        <v>19.75</v>
      </c>
      <c r="E62" s="2">
        <v>19.75</v>
      </c>
      <c r="F62" s="2">
        <v>20.25</v>
      </c>
      <c r="G62" s="2">
        <v>22.25</v>
      </c>
      <c r="H62" s="5">
        <v>1035</v>
      </c>
      <c r="I62" s="5">
        <v>1811</v>
      </c>
      <c r="J62" s="6">
        <v>1.7497584541062803</v>
      </c>
      <c r="K62" s="5">
        <v>900</v>
      </c>
      <c r="L62" s="5">
        <v>1429</v>
      </c>
      <c r="M62" s="6">
        <v>1.5877777777777777</v>
      </c>
      <c r="N62" s="5">
        <v>990</v>
      </c>
      <c r="O62" s="5">
        <v>1707</v>
      </c>
      <c r="P62" s="6">
        <v>1.7242424242424241</v>
      </c>
      <c r="Q62" s="62">
        <f>N62</f>
        <v>990</v>
      </c>
      <c r="R62" s="83">
        <f t="shared" si="1"/>
        <v>1775.28</v>
      </c>
      <c r="S62" s="63">
        <f>R62/Q62</f>
        <v>1.7932121212121213</v>
      </c>
      <c r="T62">
        <f>(R62-O62)/O62</f>
        <v>3.9999999999999987E-2</v>
      </c>
      <c r="U62">
        <f t="shared" si="2"/>
        <v>15</v>
      </c>
      <c r="V62">
        <f t="shared" si="3"/>
        <v>14</v>
      </c>
      <c r="W62">
        <f t="shared" si="4"/>
        <v>11.000000000000002</v>
      </c>
      <c r="X62">
        <f t="shared" si="5"/>
        <v>12.700000000000001</v>
      </c>
      <c r="Y62">
        <f t="shared" si="0"/>
        <v>3.0000000000000001E-3</v>
      </c>
      <c r="Z62">
        <f t="shared" si="6"/>
        <v>3.9999999999999982</v>
      </c>
      <c r="AA62">
        <f t="shared" si="7"/>
        <v>1.5E-3</v>
      </c>
      <c r="AB62">
        <f t="shared" si="8"/>
        <v>5.1568165913862185E-3</v>
      </c>
      <c r="AC62">
        <f t="shared" si="9"/>
        <v>6.6568165913862189E-3</v>
      </c>
      <c r="AD62">
        <f t="shared" si="10"/>
        <v>1.0466568165913863</v>
      </c>
      <c r="AE62">
        <f t="shared" si="11"/>
        <v>21.15</v>
      </c>
      <c r="AF62" s="80">
        <f t="shared" si="12"/>
        <v>22.14</v>
      </c>
    </row>
    <row r="63" spans="1:32" ht="30">
      <c r="A63" s="3">
        <v>62</v>
      </c>
      <c r="B63" s="1" t="s">
        <v>16</v>
      </c>
      <c r="C63" s="1" t="s">
        <v>77</v>
      </c>
      <c r="D63" s="2">
        <v>17.25</v>
      </c>
      <c r="E63" s="2">
        <v>17.25</v>
      </c>
      <c r="F63" s="2">
        <v>17.25</v>
      </c>
      <c r="G63" s="2">
        <v>19.75</v>
      </c>
      <c r="H63" s="5">
        <v>945</v>
      </c>
      <c r="I63" s="5">
        <v>1187</v>
      </c>
      <c r="J63" s="6">
        <v>1.2560846560846561</v>
      </c>
      <c r="K63" s="5">
        <v>900</v>
      </c>
      <c r="L63" s="5">
        <v>1146</v>
      </c>
      <c r="M63" s="6">
        <v>1.2733333333333334</v>
      </c>
      <c r="N63" s="5">
        <v>900</v>
      </c>
      <c r="O63" s="5">
        <v>1390</v>
      </c>
      <c r="P63" s="6">
        <v>1.5444444444444445</v>
      </c>
      <c r="Q63" s="62">
        <f>N63</f>
        <v>900</v>
      </c>
      <c r="R63" s="83">
        <f t="shared" si="1"/>
        <v>1445.6000000000001</v>
      </c>
      <c r="S63" s="63">
        <f>R63/Q63</f>
        <v>1.6062222222222224</v>
      </c>
      <c r="T63">
        <f>(R63-O63)/O63</f>
        <v>4.0000000000000098E-2</v>
      </c>
      <c r="U63">
        <f t="shared" si="2"/>
        <v>28.999999999999996</v>
      </c>
      <c r="V63">
        <f t="shared" si="3"/>
        <v>34</v>
      </c>
      <c r="W63">
        <f t="shared" si="4"/>
        <v>20.999999999999993</v>
      </c>
      <c r="X63">
        <f t="shared" si="5"/>
        <v>26.499999999999996</v>
      </c>
      <c r="Y63">
        <f t="shared" si="0"/>
        <v>4.0000000000000001E-3</v>
      </c>
      <c r="Z63">
        <f t="shared" si="6"/>
        <v>8.0000000000000036</v>
      </c>
      <c r="AA63">
        <f t="shared" si="7"/>
        <v>4.0000000000000001E-3</v>
      </c>
      <c r="AB63">
        <f t="shared" si="8"/>
        <v>1.0645724258289703E-2</v>
      </c>
      <c r="AC63">
        <f t="shared" si="9"/>
        <v>1.4645724258289703E-2</v>
      </c>
      <c r="AD63">
        <f t="shared" si="10"/>
        <v>1.0546457242582898</v>
      </c>
      <c r="AE63">
        <f t="shared" si="11"/>
        <v>18.5</v>
      </c>
      <c r="AF63" s="80">
        <f t="shared" si="12"/>
        <v>19.510000000000002</v>
      </c>
    </row>
    <row r="64" spans="1:32" ht="30">
      <c r="A64" s="3">
        <v>63</v>
      </c>
      <c r="B64" s="1" t="s">
        <v>16</v>
      </c>
      <c r="C64" s="1" t="s">
        <v>78</v>
      </c>
      <c r="D64" s="2">
        <v>22.5</v>
      </c>
      <c r="E64" s="2">
        <v>22.5</v>
      </c>
      <c r="F64" s="2">
        <v>22.5</v>
      </c>
      <c r="G64" s="2">
        <v>24</v>
      </c>
      <c r="H64" s="5">
        <v>765</v>
      </c>
      <c r="I64" s="5">
        <v>1572</v>
      </c>
      <c r="J64" s="6">
        <v>2.0549019607843135</v>
      </c>
      <c r="K64" s="5">
        <v>720</v>
      </c>
      <c r="L64" s="5">
        <v>1286</v>
      </c>
      <c r="M64" s="6">
        <v>1.7861111111111112</v>
      </c>
      <c r="N64" s="5">
        <v>855</v>
      </c>
      <c r="O64" s="5">
        <v>1901</v>
      </c>
      <c r="P64" s="6">
        <v>2.223391812865497</v>
      </c>
      <c r="Q64" s="62">
        <f>N64</f>
        <v>855</v>
      </c>
      <c r="R64" s="83">
        <f t="shared" si="1"/>
        <v>1977.04</v>
      </c>
      <c r="S64" s="63">
        <f>R64/Q64</f>
        <v>2.3123274853801168</v>
      </c>
      <c r="T64">
        <f>(R64-O64)/O64</f>
        <v>3.999999999999998E-2</v>
      </c>
      <c r="U64">
        <f t="shared" si="2"/>
        <v>6</v>
      </c>
      <c r="V64">
        <f t="shared" si="3"/>
        <v>6</v>
      </c>
      <c r="W64">
        <f t="shared" si="4"/>
        <v>4</v>
      </c>
      <c r="X64">
        <f t="shared" si="5"/>
        <v>5</v>
      </c>
      <c r="Y64">
        <f t="shared" si="0"/>
        <v>2E-3</v>
      </c>
      <c r="Z64">
        <f t="shared" si="6"/>
        <v>2</v>
      </c>
      <c r="AA64">
        <f t="shared" si="7"/>
        <v>1E-3</v>
      </c>
      <c r="AB64">
        <f t="shared" si="8"/>
        <v>3.6723418187771125E-3</v>
      </c>
      <c r="AC64">
        <f t="shared" si="9"/>
        <v>4.6723418187771121E-3</v>
      </c>
      <c r="AD64">
        <f t="shared" si="10"/>
        <v>1.0446723418187771</v>
      </c>
      <c r="AE64">
        <f t="shared" si="11"/>
        <v>23.25</v>
      </c>
      <c r="AF64" s="80">
        <f t="shared" si="12"/>
        <v>24.29</v>
      </c>
    </row>
    <row r="65" spans="1:32" ht="30">
      <c r="A65" s="3">
        <v>64</v>
      </c>
      <c r="B65" s="1" t="s">
        <v>16</v>
      </c>
      <c r="C65" s="1" t="s">
        <v>79</v>
      </c>
      <c r="D65" s="2">
        <v>15.25</v>
      </c>
      <c r="E65" s="2">
        <v>15.25</v>
      </c>
      <c r="F65" s="2">
        <v>13.5</v>
      </c>
      <c r="G65" s="2">
        <v>16.25</v>
      </c>
      <c r="H65" s="5">
        <v>585</v>
      </c>
      <c r="I65" s="5">
        <v>666</v>
      </c>
      <c r="J65" s="6">
        <v>1.1384615384615384</v>
      </c>
      <c r="K65" s="5">
        <v>630</v>
      </c>
      <c r="L65" s="5">
        <v>406</v>
      </c>
      <c r="M65" s="6">
        <v>0.64444444444444449</v>
      </c>
      <c r="N65" s="5">
        <v>765</v>
      </c>
      <c r="O65" s="5">
        <v>579</v>
      </c>
      <c r="P65" s="6">
        <v>0.75686274509803919</v>
      </c>
      <c r="Q65" s="62">
        <f>N65</f>
        <v>765</v>
      </c>
      <c r="R65" s="83">
        <f t="shared" si="1"/>
        <v>602.16</v>
      </c>
      <c r="S65" s="63">
        <f>R65/Q65</f>
        <v>0.78713725490196074</v>
      </c>
      <c r="T65">
        <f>(R65-O65)/O65</f>
        <v>3.9999999999999945E-2</v>
      </c>
      <c r="U65">
        <f t="shared" si="2"/>
        <v>44.000000000000007</v>
      </c>
      <c r="V65">
        <f t="shared" si="3"/>
        <v>60</v>
      </c>
      <c r="W65">
        <f t="shared" si="4"/>
        <v>33.999999999999979</v>
      </c>
      <c r="X65">
        <f t="shared" si="5"/>
        <v>43.79999999999999</v>
      </c>
      <c r="Y65">
        <f t="shared" si="0"/>
        <v>5.0000000000000001E-3</v>
      </c>
      <c r="Z65">
        <f t="shared" si="6"/>
        <v>10.000000000000028</v>
      </c>
      <c r="AA65">
        <f t="shared" si="7"/>
        <v>5.0000000000000001E-3</v>
      </c>
      <c r="AB65">
        <f t="shared" si="8"/>
        <v>8.7221095334685545E-3</v>
      </c>
      <c r="AC65">
        <f t="shared" si="9"/>
        <v>1.3722109533468554E-2</v>
      </c>
      <c r="AD65">
        <f t="shared" si="10"/>
        <v>1.0537221095334686</v>
      </c>
      <c r="AE65">
        <f t="shared" si="11"/>
        <v>15.225000000000001</v>
      </c>
      <c r="AF65" s="80">
        <f t="shared" si="12"/>
        <v>16.04</v>
      </c>
    </row>
    <row r="66" spans="1:32" ht="30">
      <c r="A66" s="3">
        <v>65</v>
      </c>
      <c r="B66" s="1" t="s">
        <v>16</v>
      </c>
      <c r="C66" s="1" t="s">
        <v>80</v>
      </c>
      <c r="D66" s="2">
        <v>19.5</v>
      </c>
      <c r="E66" s="2">
        <v>19.5</v>
      </c>
      <c r="F66" s="2">
        <v>19.75</v>
      </c>
      <c r="G66" s="2">
        <v>21.5</v>
      </c>
      <c r="H66" s="5">
        <v>810</v>
      </c>
      <c r="I66" s="5">
        <v>1145</v>
      </c>
      <c r="J66" s="6">
        <v>1.4135802469135803</v>
      </c>
      <c r="K66" s="5">
        <v>675</v>
      </c>
      <c r="L66" s="5">
        <v>892</v>
      </c>
      <c r="M66" s="6">
        <v>1.3214814814814815</v>
      </c>
      <c r="N66" s="5">
        <v>855</v>
      </c>
      <c r="O66" s="5">
        <v>1014</v>
      </c>
      <c r="P66" s="6">
        <v>1.1859649122807017</v>
      </c>
      <c r="Q66" s="62">
        <f>N66</f>
        <v>855</v>
      </c>
      <c r="R66" s="83">
        <f t="shared" si="1"/>
        <v>1054.56</v>
      </c>
      <c r="S66" s="63">
        <f>R66/Q66</f>
        <v>1.2334035087719297</v>
      </c>
      <c r="T66">
        <f>(R66-O66)/O66</f>
        <v>3.9999999999999945E-2</v>
      </c>
      <c r="U66">
        <f t="shared" si="2"/>
        <v>16</v>
      </c>
      <c r="V66">
        <f t="shared" si="3"/>
        <v>16</v>
      </c>
      <c r="W66">
        <f t="shared" si="4"/>
        <v>14.000000000000004</v>
      </c>
      <c r="X66">
        <f t="shared" si="5"/>
        <v>15</v>
      </c>
      <c r="Y66">
        <f t="shared" si="0"/>
        <v>3.0000000000000001E-3</v>
      </c>
      <c r="Z66">
        <f t="shared" si="6"/>
        <v>1.9999999999999964</v>
      </c>
      <c r="AA66">
        <f t="shared" si="7"/>
        <v>1.5E-3</v>
      </c>
      <c r="AB66">
        <f t="shared" si="8"/>
        <v>-6.1529383998111913E-3</v>
      </c>
      <c r="AC66">
        <f t="shared" si="9"/>
        <v>-4.6529383998111917E-3</v>
      </c>
      <c r="AD66">
        <f t="shared" si="10"/>
        <v>1.0353470616001887</v>
      </c>
      <c r="AE66">
        <f t="shared" si="11"/>
        <v>20.575000000000003</v>
      </c>
      <c r="AF66" s="80">
        <f t="shared" si="12"/>
        <v>21.3</v>
      </c>
    </row>
    <row r="67" spans="1:32" ht="30">
      <c r="A67" s="3">
        <v>66</v>
      </c>
      <c r="B67" s="1" t="s">
        <v>16</v>
      </c>
      <c r="C67" s="1" t="s">
        <v>81</v>
      </c>
      <c r="D67" s="2">
        <v>18.25</v>
      </c>
      <c r="E67" s="2">
        <v>18.25</v>
      </c>
      <c r="F67" s="2">
        <v>18</v>
      </c>
      <c r="G67" s="2">
        <v>20.25</v>
      </c>
      <c r="H67" s="5">
        <v>945</v>
      </c>
      <c r="I67" s="5">
        <v>932</v>
      </c>
      <c r="J67" s="6">
        <v>0.98624338624338626</v>
      </c>
      <c r="K67" s="5">
        <v>675</v>
      </c>
      <c r="L67" s="5">
        <v>684</v>
      </c>
      <c r="M67" s="6">
        <v>1.0133333333333334</v>
      </c>
      <c r="N67" s="5">
        <v>810</v>
      </c>
      <c r="O67" s="5">
        <v>833</v>
      </c>
      <c r="P67" s="6">
        <v>1.028395061728395</v>
      </c>
      <c r="Q67" s="62">
        <f>N67</f>
        <v>810</v>
      </c>
      <c r="R67" s="83">
        <f t="shared" ref="R67:R130" si="13">O67*1.04</f>
        <v>866.32</v>
      </c>
      <c r="S67" s="63">
        <f>R67/Q67</f>
        <v>1.069530864197531</v>
      </c>
      <c r="T67">
        <f>(R67-O67)/O67</f>
        <v>4.0000000000000063E-2</v>
      </c>
      <c r="U67">
        <f t="shared" ref="U67:U130" si="14">IF(E67=" "," ",1+SUMPRODUCT(($E$2:$E$171&gt;E67)/COUNTIF($E$2:$E$171,$E$2:$E$171)))</f>
        <v>22</v>
      </c>
      <c r="V67">
        <f t="shared" ref="V67:V130" si="15">IF(F67=" "," ",1+SUMPRODUCT(($F$2:$F$171&gt;F67)/COUNTIF($F$2:$F$171,$F$2:$F$171)))</f>
        <v>26</v>
      </c>
      <c r="W67">
        <f t="shared" ref="W67:W130" si="16">IF(G67=" "," ",1+SUMPRODUCT(($G$2:$G$171&gt;G67)/COUNTIF($G$2:$G$171,$G$2:$G$171)))</f>
        <v>19</v>
      </c>
      <c r="X67">
        <f t="shared" ref="X67:X130" si="17">(W67*0.5)+(V67*0.3)+(U67*0.2)</f>
        <v>21.700000000000003</v>
      </c>
      <c r="Y67">
        <f t="shared" ref="Y67:Y130" si="18">IF(X67&lt;=10, 0.002, IF(X67&lt;=20, 0.003, IF(X67&lt;=30, 0.004, 0.005)))</f>
        <v>4.0000000000000001E-3</v>
      </c>
      <c r="Z67">
        <f t="shared" ref="Z67:Z130" si="19">U67-W67</f>
        <v>3</v>
      </c>
      <c r="AA67">
        <f t="shared" ref="AA67:AA130" si="20">IF(Z67&gt;=5, Y67, IF(Z67&gt;=2, Y67/2, IF(T67&lt;=-2, -Z67/2, 0)))</f>
        <v>2E-3</v>
      </c>
      <c r="AB67">
        <f t="shared" ref="AB67:AB130" si="21">((P67-M67)/M67)*IF(X67&lt;=10, 0.015, IF(X67&lt;=20, 0.06, IF(X67&lt;=30, 0.05, 0.05)))</f>
        <v>7.4317738791422323E-4</v>
      </c>
      <c r="AC67">
        <f t="shared" ref="AC67:AC130" si="22">AA67+AB67</f>
        <v>2.7431773879142232E-3</v>
      </c>
      <c r="AD67">
        <f t="shared" ref="AD67:AD130" si="23">1+T67+AC67</f>
        <v>1.0427431773879143</v>
      </c>
      <c r="AE67">
        <f t="shared" ref="AE67:AE130" si="24">(G67*0.5)+(F67*0.3)+(E67*0.2)</f>
        <v>19.174999999999997</v>
      </c>
      <c r="AF67" s="80">
        <f t="shared" ref="AF67:AF130" si="25">ROUND(AE67*AD67,2)</f>
        <v>19.989999999999998</v>
      </c>
    </row>
    <row r="68" spans="1:32" ht="30">
      <c r="A68" s="3">
        <v>67</v>
      </c>
      <c r="B68" s="1" t="s">
        <v>16</v>
      </c>
      <c r="C68" s="1" t="s">
        <v>82</v>
      </c>
      <c r="D68" s="2">
        <v>23.25</v>
      </c>
      <c r="E68" s="2">
        <v>23.25</v>
      </c>
      <c r="F68" s="2">
        <v>22.75</v>
      </c>
      <c r="G68" s="2">
        <v>24.25</v>
      </c>
      <c r="H68" s="5">
        <v>810</v>
      </c>
      <c r="I68" s="5">
        <v>1677</v>
      </c>
      <c r="J68" s="6">
        <v>2.0703703703703704</v>
      </c>
      <c r="K68" s="5">
        <v>810</v>
      </c>
      <c r="L68" s="5">
        <v>1238</v>
      </c>
      <c r="M68" s="6">
        <v>1.528395061728395</v>
      </c>
      <c r="N68" s="5">
        <v>945</v>
      </c>
      <c r="O68" s="5">
        <v>2004</v>
      </c>
      <c r="P68" s="6">
        <v>2.1206349206349207</v>
      </c>
      <c r="Q68" s="62">
        <f>N68</f>
        <v>945</v>
      </c>
      <c r="R68" s="83">
        <f t="shared" si="13"/>
        <v>2084.16</v>
      </c>
      <c r="S68" s="63">
        <f>R68/Q68</f>
        <v>2.2054603174603171</v>
      </c>
      <c r="T68">
        <f>(R68-O68)/O68</f>
        <v>3.9999999999999925E-2</v>
      </c>
      <c r="U68">
        <f t="shared" si="14"/>
        <v>4</v>
      </c>
      <c r="V68">
        <f t="shared" si="15"/>
        <v>5</v>
      </c>
      <c r="W68">
        <f t="shared" si="16"/>
        <v>3</v>
      </c>
      <c r="X68">
        <f t="shared" si="17"/>
        <v>3.8</v>
      </c>
      <c r="Y68">
        <f t="shared" si="18"/>
        <v>2E-3</v>
      </c>
      <c r="Z68">
        <f t="shared" si="19"/>
        <v>1</v>
      </c>
      <c r="AA68">
        <f t="shared" si="20"/>
        <v>0</v>
      </c>
      <c r="AB68">
        <f t="shared" si="21"/>
        <v>5.8123701823217175E-3</v>
      </c>
      <c r="AC68">
        <f t="shared" si="22"/>
        <v>5.8123701823217175E-3</v>
      </c>
      <c r="AD68">
        <f t="shared" si="23"/>
        <v>1.0458123701823216</v>
      </c>
      <c r="AE68">
        <f t="shared" si="24"/>
        <v>23.6</v>
      </c>
      <c r="AF68" s="80">
        <f t="shared" si="25"/>
        <v>24.68</v>
      </c>
    </row>
    <row r="69" spans="1:32" ht="30">
      <c r="A69" s="3">
        <v>68</v>
      </c>
      <c r="B69" s="1" t="s">
        <v>16</v>
      </c>
      <c r="C69" s="1" t="s">
        <v>83</v>
      </c>
      <c r="D69" s="2">
        <v>24.25</v>
      </c>
      <c r="E69" s="2">
        <v>24.25</v>
      </c>
      <c r="F69" s="2">
        <v>23.5</v>
      </c>
      <c r="G69" s="86">
        <v>25.5</v>
      </c>
      <c r="H69" s="5">
        <v>405</v>
      </c>
      <c r="I69" s="5">
        <v>1139</v>
      </c>
      <c r="J69" s="6">
        <v>2.8123456790123456</v>
      </c>
      <c r="K69" s="5">
        <v>675</v>
      </c>
      <c r="L69" s="5">
        <v>1107</v>
      </c>
      <c r="M69" s="6">
        <v>1.64</v>
      </c>
      <c r="N69" s="5">
        <v>675</v>
      </c>
      <c r="O69" s="5">
        <v>1692</v>
      </c>
      <c r="P69" s="6">
        <v>2.5066666666666668</v>
      </c>
      <c r="Q69" s="62">
        <f>N69</f>
        <v>675</v>
      </c>
      <c r="R69" s="83">
        <f t="shared" si="13"/>
        <v>1759.68</v>
      </c>
      <c r="S69" s="63">
        <f>R69/Q69</f>
        <v>2.6069333333333335</v>
      </c>
      <c r="T69">
        <f>(R69-O69)/O69</f>
        <v>4.0000000000000036E-2</v>
      </c>
      <c r="U69">
        <f t="shared" si="14"/>
        <v>1</v>
      </c>
      <c r="V69">
        <f t="shared" si="15"/>
        <v>3</v>
      </c>
      <c r="W69">
        <f t="shared" si="16"/>
        <v>1</v>
      </c>
      <c r="X69">
        <f t="shared" si="17"/>
        <v>1.5999999999999999</v>
      </c>
      <c r="Y69">
        <f t="shared" si="18"/>
        <v>2E-3</v>
      </c>
      <c r="Z69">
        <f t="shared" si="19"/>
        <v>0</v>
      </c>
      <c r="AA69">
        <f t="shared" si="20"/>
        <v>0</v>
      </c>
      <c r="AB69">
        <f t="shared" si="21"/>
        <v>7.9268292682926865E-3</v>
      </c>
      <c r="AC69">
        <f t="shared" si="22"/>
        <v>7.9268292682926865E-3</v>
      </c>
      <c r="AD69">
        <f t="shared" si="23"/>
        <v>1.0479268292682926</v>
      </c>
      <c r="AE69">
        <f t="shared" si="24"/>
        <v>24.650000000000002</v>
      </c>
      <c r="AF69" s="80">
        <f t="shared" si="25"/>
        <v>25.83</v>
      </c>
    </row>
    <row r="70" spans="1:32" ht="30">
      <c r="A70" s="3">
        <v>69</v>
      </c>
      <c r="B70" s="1" t="s">
        <v>16</v>
      </c>
      <c r="C70" s="1" t="s">
        <v>84</v>
      </c>
      <c r="D70" s="2">
        <v>17</v>
      </c>
      <c r="E70" s="2">
        <v>17</v>
      </c>
      <c r="F70" s="2">
        <v>16.25</v>
      </c>
      <c r="G70" s="2">
        <v>18.75</v>
      </c>
      <c r="H70" s="5">
        <v>765</v>
      </c>
      <c r="I70" s="5">
        <v>953</v>
      </c>
      <c r="J70" s="6">
        <v>1.2457516339869281</v>
      </c>
      <c r="K70" s="5">
        <v>675</v>
      </c>
      <c r="L70" s="5">
        <v>684</v>
      </c>
      <c r="M70" s="6">
        <v>1.0133333333333334</v>
      </c>
      <c r="N70" s="5">
        <v>720</v>
      </c>
      <c r="O70" s="5">
        <v>875</v>
      </c>
      <c r="P70" s="6">
        <v>1.2152777777777777</v>
      </c>
      <c r="Q70" s="62">
        <f>N70</f>
        <v>720</v>
      </c>
      <c r="R70" s="83">
        <f t="shared" si="13"/>
        <v>910</v>
      </c>
      <c r="S70" s="63">
        <f>R70/Q70</f>
        <v>1.2638888888888888</v>
      </c>
      <c r="T70">
        <f>(R70-O70)/O70</f>
        <v>0.04</v>
      </c>
      <c r="U70">
        <f t="shared" si="14"/>
        <v>31.999999999999996</v>
      </c>
      <c r="V70">
        <f t="shared" si="15"/>
        <v>41</v>
      </c>
      <c r="W70">
        <f t="shared" si="16"/>
        <v>23.999999999999986</v>
      </c>
      <c r="X70">
        <f t="shared" si="17"/>
        <v>30.699999999999989</v>
      </c>
      <c r="Y70">
        <f t="shared" si="18"/>
        <v>5.0000000000000001E-3</v>
      </c>
      <c r="Z70">
        <f t="shared" si="19"/>
        <v>8.0000000000000107</v>
      </c>
      <c r="AA70">
        <f t="shared" si="20"/>
        <v>5.0000000000000001E-3</v>
      </c>
      <c r="AB70">
        <f t="shared" si="21"/>
        <v>9.9643640350877104E-3</v>
      </c>
      <c r="AC70">
        <f t="shared" si="22"/>
        <v>1.4964364035087711E-2</v>
      </c>
      <c r="AD70">
        <f t="shared" si="23"/>
        <v>1.0549643640350876</v>
      </c>
      <c r="AE70">
        <f t="shared" si="24"/>
        <v>17.649999999999999</v>
      </c>
      <c r="AF70" s="80">
        <f t="shared" si="25"/>
        <v>18.62</v>
      </c>
    </row>
    <row r="71" spans="1:32" ht="30">
      <c r="A71" s="3">
        <v>70</v>
      </c>
      <c r="B71" s="1" t="s">
        <v>16</v>
      </c>
      <c r="C71" s="1" t="s">
        <v>85</v>
      </c>
      <c r="D71" s="2">
        <v>23.25</v>
      </c>
      <c r="E71" s="2">
        <v>23.25</v>
      </c>
      <c r="F71" s="2">
        <v>23.5</v>
      </c>
      <c r="G71" s="2">
        <v>24.25</v>
      </c>
      <c r="H71" s="5">
        <v>495</v>
      </c>
      <c r="I71" s="5">
        <v>1595</v>
      </c>
      <c r="J71" s="6">
        <v>3.2222222222222223</v>
      </c>
      <c r="K71" s="5">
        <v>585</v>
      </c>
      <c r="L71" s="5">
        <v>1399</v>
      </c>
      <c r="M71" s="6">
        <v>2.3914529914529914</v>
      </c>
      <c r="N71" s="5">
        <v>765</v>
      </c>
      <c r="O71" s="5">
        <v>1797</v>
      </c>
      <c r="P71" s="6">
        <v>2.3490196078431373</v>
      </c>
      <c r="Q71" s="62">
        <f>N71</f>
        <v>765</v>
      </c>
      <c r="R71" s="83">
        <f t="shared" si="13"/>
        <v>1868.88</v>
      </c>
      <c r="S71" s="63">
        <f>R71/Q71</f>
        <v>2.4429803921568629</v>
      </c>
      <c r="T71">
        <f>(R71-O71)/O71</f>
        <v>4.0000000000000063E-2</v>
      </c>
      <c r="U71">
        <f t="shared" si="14"/>
        <v>4</v>
      </c>
      <c r="V71">
        <f t="shared" si="15"/>
        <v>3</v>
      </c>
      <c r="W71">
        <f t="shared" si="16"/>
        <v>3</v>
      </c>
      <c r="X71">
        <f t="shared" si="17"/>
        <v>3.2</v>
      </c>
      <c r="Y71">
        <f t="shared" si="18"/>
        <v>2E-3</v>
      </c>
      <c r="Z71">
        <f t="shared" si="19"/>
        <v>1</v>
      </c>
      <c r="AA71">
        <f t="shared" si="20"/>
        <v>0</v>
      </c>
      <c r="AB71">
        <f t="shared" si="21"/>
        <v>-2.6615649833914884E-4</v>
      </c>
      <c r="AC71">
        <f t="shared" si="22"/>
        <v>-2.6615649833914884E-4</v>
      </c>
      <c r="AD71">
        <f t="shared" si="23"/>
        <v>1.039733843501661</v>
      </c>
      <c r="AE71">
        <f t="shared" si="24"/>
        <v>23.825000000000003</v>
      </c>
      <c r="AF71" s="80">
        <f t="shared" si="25"/>
        <v>24.77</v>
      </c>
    </row>
    <row r="72" spans="1:32" ht="30">
      <c r="A72" s="3">
        <v>71</v>
      </c>
      <c r="B72" s="1" t="s">
        <v>16</v>
      </c>
      <c r="C72" s="1" t="s">
        <v>86</v>
      </c>
      <c r="D72" s="2">
        <v>20.5</v>
      </c>
      <c r="E72" s="2">
        <v>20.5</v>
      </c>
      <c r="F72" s="2">
        <v>21</v>
      </c>
      <c r="G72" s="2">
        <v>22.75</v>
      </c>
      <c r="H72" s="5">
        <v>945</v>
      </c>
      <c r="I72" s="5">
        <v>1777</v>
      </c>
      <c r="J72" s="6">
        <v>1.8804232804232803</v>
      </c>
      <c r="K72" s="5">
        <v>810</v>
      </c>
      <c r="L72" s="5">
        <v>1390</v>
      </c>
      <c r="M72" s="6">
        <v>1.7160493827160495</v>
      </c>
      <c r="N72" s="5">
        <v>900</v>
      </c>
      <c r="O72" s="5">
        <v>2312</v>
      </c>
      <c r="P72" s="6">
        <v>2.568888888888889</v>
      </c>
      <c r="Q72" s="62">
        <f>N72</f>
        <v>900</v>
      </c>
      <c r="R72" s="83">
        <f t="shared" si="13"/>
        <v>2404.48</v>
      </c>
      <c r="S72" s="63">
        <f>R72/Q72</f>
        <v>2.6716444444444445</v>
      </c>
      <c r="T72">
        <f>(R72-O72)/O72</f>
        <v>4.0000000000000008E-2</v>
      </c>
      <c r="U72">
        <f t="shared" si="14"/>
        <v>11</v>
      </c>
      <c r="V72">
        <f t="shared" si="15"/>
        <v>12</v>
      </c>
      <c r="W72">
        <f t="shared" si="16"/>
        <v>8.9999999999999982</v>
      </c>
      <c r="X72">
        <f t="shared" si="17"/>
        <v>10.299999999999997</v>
      </c>
      <c r="Y72">
        <f t="shared" si="18"/>
        <v>3.0000000000000001E-3</v>
      </c>
      <c r="Z72">
        <f t="shared" si="19"/>
        <v>2.0000000000000018</v>
      </c>
      <c r="AA72">
        <f t="shared" si="20"/>
        <v>1.5E-3</v>
      </c>
      <c r="AB72">
        <f t="shared" si="21"/>
        <v>2.9818705035971223E-2</v>
      </c>
      <c r="AC72">
        <f t="shared" si="22"/>
        <v>3.1318705035971221E-2</v>
      </c>
      <c r="AD72">
        <f t="shared" si="23"/>
        <v>1.0713187050359712</v>
      </c>
      <c r="AE72">
        <f t="shared" si="24"/>
        <v>21.775000000000002</v>
      </c>
      <c r="AF72" s="80">
        <f t="shared" si="25"/>
        <v>23.33</v>
      </c>
    </row>
    <row r="73" spans="1:32" ht="30">
      <c r="A73" s="3">
        <v>72</v>
      </c>
      <c r="B73" s="1" t="s">
        <v>16</v>
      </c>
      <c r="C73" s="1" t="s">
        <v>87</v>
      </c>
      <c r="D73" s="2">
        <v>18</v>
      </c>
      <c r="E73" s="2">
        <v>18</v>
      </c>
      <c r="F73" s="2">
        <v>17.75</v>
      </c>
      <c r="G73" s="2">
        <v>20</v>
      </c>
      <c r="H73" s="5">
        <v>675</v>
      </c>
      <c r="I73" s="5">
        <v>930</v>
      </c>
      <c r="J73" s="6">
        <v>1.3777777777777778</v>
      </c>
      <c r="K73" s="5">
        <v>585</v>
      </c>
      <c r="L73" s="5">
        <v>761</v>
      </c>
      <c r="M73" s="6">
        <v>1.3008547008547009</v>
      </c>
      <c r="N73" s="5">
        <v>765</v>
      </c>
      <c r="O73" s="5">
        <v>1126</v>
      </c>
      <c r="P73" s="6">
        <v>1.4718954248366014</v>
      </c>
      <c r="Q73" s="62">
        <f>N73</f>
        <v>765</v>
      </c>
      <c r="R73" s="83">
        <f t="shared" si="13"/>
        <v>1171.04</v>
      </c>
      <c r="S73" s="63">
        <f>R73/Q73</f>
        <v>1.5307712418300654</v>
      </c>
      <c r="T73">
        <f>(R73-O73)/O73</f>
        <v>3.9999999999999966E-2</v>
      </c>
      <c r="U73">
        <f t="shared" si="14"/>
        <v>24</v>
      </c>
      <c r="V73">
        <f t="shared" si="15"/>
        <v>28</v>
      </c>
      <c r="W73">
        <f t="shared" si="16"/>
        <v>19.999999999999996</v>
      </c>
      <c r="X73">
        <f t="shared" si="17"/>
        <v>23.2</v>
      </c>
      <c r="Y73">
        <f t="shared" si="18"/>
        <v>4.0000000000000001E-3</v>
      </c>
      <c r="Z73">
        <f t="shared" si="19"/>
        <v>4.0000000000000036</v>
      </c>
      <c r="AA73">
        <f t="shared" si="20"/>
        <v>2E-3</v>
      </c>
      <c r="AB73">
        <f t="shared" si="21"/>
        <v>6.5741671175697644E-3</v>
      </c>
      <c r="AC73">
        <f t="shared" si="22"/>
        <v>8.5741671175697635E-3</v>
      </c>
      <c r="AD73">
        <f t="shared" si="23"/>
        <v>1.0485741671175699</v>
      </c>
      <c r="AE73">
        <f t="shared" si="24"/>
        <v>18.925000000000001</v>
      </c>
      <c r="AF73" s="80">
        <f t="shared" si="25"/>
        <v>19.84</v>
      </c>
    </row>
    <row r="74" spans="1:32" ht="30">
      <c r="A74" s="3">
        <v>73</v>
      </c>
      <c r="B74" s="1" t="s">
        <v>16</v>
      </c>
      <c r="C74" s="1" t="s">
        <v>88</v>
      </c>
      <c r="D74" s="2">
        <v>14</v>
      </c>
      <c r="E74" s="2">
        <v>14</v>
      </c>
      <c r="F74" s="2">
        <v>13.5</v>
      </c>
      <c r="G74" s="2">
        <v>16.75</v>
      </c>
      <c r="H74" s="5">
        <v>810</v>
      </c>
      <c r="I74" s="5">
        <v>854</v>
      </c>
      <c r="J74" s="6">
        <v>1.0543209876543209</v>
      </c>
      <c r="K74" s="5">
        <v>585</v>
      </c>
      <c r="L74" s="5">
        <v>681</v>
      </c>
      <c r="M74" s="6">
        <v>1.1641025641025642</v>
      </c>
      <c r="N74" s="5">
        <v>675</v>
      </c>
      <c r="O74" s="5">
        <v>997</v>
      </c>
      <c r="P74" s="6">
        <v>1.4770370370370369</v>
      </c>
      <c r="Q74" s="62">
        <f>N74</f>
        <v>675</v>
      </c>
      <c r="R74" s="83">
        <f t="shared" si="13"/>
        <v>1036.8800000000001</v>
      </c>
      <c r="S74" s="63">
        <f>R74/Q74</f>
        <v>1.5361185185185187</v>
      </c>
      <c r="T74">
        <f>(R74-O74)/O74</f>
        <v>4.0000000000000112E-2</v>
      </c>
      <c r="U74">
        <f t="shared" si="14"/>
        <v>52</v>
      </c>
      <c r="V74">
        <f t="shared" si="15"/>
        <v>60</v>
      </c>
      <c r="W74">
        <f t="shared" si="16"/>
        <v>31.999999999999982</v>
      </c>
      <c r="X74">
        <f t="shared" si="17"/>
        <v>44.399999999999991</v>
      </c>
      <c r="Y74">
        <f t="shared" si="18"/>
        <v>5.0000000000000001E-3</v>
      </c>
      <c r="Z74">
        <f t="shared" si="19"/>
        <v>20.000000000000018</v>
      </c>
      <c r="AA74">
        <f t="shared" si="20"/>
        <v>5.0000000000000001E-3</v>
      </c>
      <c r="AB74">
        <f t="shared" si="21"/>
        <v>1.3441018110621625E-2</v>
      </c>
      <c r="AC74">
        <f t="shared" si="22"/>
        <v>1.8441018110621626E-2</v>
      </c>
      <c r="AD74">
        <f t="shared" si="23"/>
        <v>1.0584410181106216</v>
      </c>
      <c r="AE74">
        <f t="shared" si="24"/>
        <v>15.225000000000001</v>
      </c>
      <c r="AF74" s="80">
        <f t="shared" si="25"/>
        <v>16.11</v>
      </c>
    </row>
    <row r="75" spans="1:32" ht="30">
      <c r="A75" s="3">
        <v>74</v>
      </c>
      <c r="B75" s="1" t="s">
        <v>16</v>
      </c>
      <c r="C75" s="1" t="s">
        <v>89</v>
      </c>
      <c r="D75" s="2">
        <v>13.5</v>
      </c>
      <c r="E75" s="2">
        <v>13.5</v>
      </c>
      <c r="F75" s="2">
        <v>11.75</v>
      </c>
      <c r="G75" s="2">
        <v>14.75</v>
      </c>
      <c r="H75" s="5">
        <v>765</v>
      </c>
      <c r="I75" s="5">
        <v>670</v>
      </c>
      <c r="J75" s="6">
        <v>0.87581699346405228</v>
      </c>
      <c r="K75" s="5">
        <v>675</v>
      </c>
      <c r="L75" s="5">
        <v>542</v>
      </c>
      <c r="M75" s="6">
        <v>0.80296296296296299</v>
      </c>
      <c r="N75" s="5">
        <v>855</v>
      </c>
      <c r="O75" s="5">
        <v>1049</v>
      </c>
      <c r="P75" s="6">
        <v>1.2269005847953216</v>
      </c>
      <c r="Q75" s="62">
        <f>N75</f>
        <v>855</v>
      </c>
      <c r="R75" s="83">
        <f t="shared" si="13"/>
        <v>1090.96</v>
      </c>
      <c r="S75" s="63">
        <f>R75/Q75</f>
        <v>1.2759766081871347</v>
      </c>
      <c r="T75">
        <f>(R75-O75)/O75</f>
        <v>4.0000000000000036E-2</v>
      </c>
      <c r="U75">
        <f t="shared" si="14"/>
        <v>56.000000000000007</v>
      </c>
      <c r="V75">
        <f t="shared" si="15"/>
        <v>68.999999999999986</v>
      </c>
      <c r="W75">
        <f t="shared" si="16"/>
        <v>40</v>
      </c>
      <c r="X75">
        <f t="shared" si="17"/>
        <v>51.9</v>
      </c>
      <c r="Y75">
        <f t="shared" si="18"/>
        <v>5.0000000000000001E-3</v>
      </c>
      <c r="Z75">
        <f t="shared" si="19"/>
        <v>16.000000000000007</v>
      </c>
      <c r="AA75">
        <f t="shared" si="20"/>
        <v>5.0000000000000001E-3</v>
      </c>
      <c r="AB75">
        <f t="shared" si="21"/>
        <v>2.6398329772771408E-2</v>
      </c>
      <c r="AC75">
        <f t="shared" si="22"/>
        <v>3.1398329772771405E-2</v>
      </c>
      <c r="AD75">
        <f t="shared" si="23"/>
        <v>1.0713983297727714</v>
      </c>
      <c r="AE75">
        <f t="shared" si="24"/>
        <v>13.600000000000001</v>
      </c>
      <c r="AF75" s="80">
        <f t="shared" si="25"/>
        <v>14.57</v>
      </c>
    </row>
    <row r="76" spans="1:32" ht="30">
      <c r="A76" s="3">
        <v>75</v>
      </c>
      <c r="B76" s="1" t="s">
        <v>16</v>
      </c>
      <c r="C76" s="1" t="s">
        <v>90</v>
      </c>
      <c r="D76" s="2">
        <v>15</v>
      </c>
      <c r="E76" s="2">
        <v>15</v>
      </c>
      <c r="F76" s="2">
        <v>12.5</v>
      </c>
      <c r="G76" s="2">
        <v>16.25</v>
      </c>
      <c r="H76" s="5">
        <v>945</v>
      </c>
      <c r="I76" s="5">
        <v>831</v>
      </c>
      <c r="J76" s="6">
        <v>0.87936507936507935</v>
      </c>
      <c r="K76" s="5">
        <v>810</v>
      </c>
      <c r="L76" s="5">
        <v>536</v>
      </c>
      <c r="M76" s="6">
        <v>0.66172839506172842</v>
      </c>
      <c r="N76" s="5">
        <v>990</v>
      </c>
      <c r="O76" s="5">
        <v>899</v>
      </c>
      <c r="P76" s="6">
        <v>0.90808080808080804</v>
      </c>
      <c r="Q76" s="62">
        <f>N76</f>
        <v>990</v>
      </c>
      <c r="R76" s="83">
        <f t="shared" si="13"/>
        <v>934.96</v>
      </c>
      <c r="S76" s="63">
        <f>R76/Q76</f>
        <v>0.94440404040404047</v>
      </c>
      <c r="T76">
        <f>(R76-O76)/O76</f>
        <v>4.0000000000000042E-2</v>
      </c>
      <c r="U76">
        <f t="shared" si="14"/>
        <v>46.000000000000007</v>
      </c>
      <c r="V76">
        <f t="shared" si="15"/>
        <v>65</v>
      </c>
      <c r="W76">
        <f t="shared" si="16"/>
        <v>33.999999999999979</v>
      </c>
      <c r="X76">
        <f t="shared" si="17"/>
        <v>45.699999999999989</v>
      </c>
      <c r="Y76">
        <f t="shared" si="18"/>
        <v>5.0000000000000001E-3</v>
      </c>
      <c r="Z76">
        <f t="shared" si="19"/>
        <v>12.000000000000028</v>
      </c>
      <c r="AA76">
        <f t="shared" si="20"/>
        <v>5.0000000000000001E-3</v>
      </c>
      <c r="AB76">
        <f t="shared" si="21"/>
        <v>1.8614314789687919E-2</v>
      </c>
      <c r="AC76">
        <f t="shared" si="22"/>
        <v>2.361431478968792E-2</v>
      </c>
      <c r="AD76">
        <f t="shared" si="23"/>
        <v>1.0636143147896879</v>
      </c>
      <c r="AE76">
        <f t="shared" si="24"/>
        <v>14.875</v>
      </c>
      <c r="AF76" s="80">
        <f t="shared" si="25"/>
        <v>15.82</v>
      </c>
    </row>
    <row r="77" spans="1:32" ht="30">
      <c r="A77" s="3">
        <v>76</v>
      </c>
      <c r="B77" s="1" t="s">
        <v>16</v>
      </c>
      <c r="C77" s="1" t="s">
        <v>91</v>
      </c>
      <c r="D77" s="2">
        <v>14</v>
      </c>
      <c r="E77" s="2">
        <v>14</v>
      </c>
      <c r="F77" s="2">
        <v>12.25</v>
      </c>
      <c r="G77" s="2">
        <v>15.75</v>
      </c>
      <c r="H77" s="5">
        <v>765</v>
      </c>
      <c r="I77" s="5">
        <v>833</v>
      </c>
      <c r="J77" s="6">
        <v>1.0888888888888888</v>
      </c>
      <c r="K77" s="5">
        <v>720</v>
      </c>
      <c r="L77" s="5">
        <v>589</v>
      </c>
      <c r="M77" s="6">
        <v>0.81805555555555554</v>
      </c>
      <c r="N77" s="5">
        <v>900</v>
      </c>
      <c r="O77" s="5">
        <v>1059</v>
      </c>
      <c r="P77" s="6">
        <v>1.1766666666666667</v>
      </c>
      <c r="Q77" s="62">
        <f>N77</f>
        <v>900</v>
      </c>
      <c r="R77" s="83">
        <f t="shared" si="13"/>
        <v>1101.3600000000001</v>
      </c>
      <c r="S77" s="63">
        <f>R77/Q77</f>
        <v>1.2237333333333336</v>
      </c>
      <c r="T77">
        <f>(R77-O77)/O77</f>
        <v>4.0000000000000119E-2</v>
      </c>
      <c r="U77">
        <f t="shared" si="14"/>
        <v>52</v>
      </c>
      <c r="V77">
        <f t="shared" si="15"/>
        <v>65.999999999999986</v>
      </c>
      <c r="W77">
        <f t="shared" si="16"/>
        <v>35.999999999999979</v>
      </c>
      <c r="X77">
        <f t="shared" si="17"/>
        <v>48.199999999999982</v>
      </c>
      <c r="Y77">
        <f t="shared" si="18"/>
        <v>5.0000000000000001E-3</v>
      </c>
      <c r="Z77">
        <f t="shared" si="19"/>
        <v>16.000000000000021</v>
      </c>
      <c r="AA77">
        <f t="shared" si="20"/>
        <v>5.0000000000000001E-3</v>
      </c>
      <c r="AB77">
        <f t="shared" si="21"/>
        <v>2.1918505942275051E-2</v>
      </c>
      <c r="AC77">
        <f t="shared" si="22"/>
        <v>2.6918505942275052E-2</v>
      </c>
      <c r="AD77">
        <f t="shared" si="23"/>
        <v>1.066918505942275</v>
      </c>
      <c r="AE77">
        <f t="shared" si="24"/>
        <v>14.350000000000001</v>
      </c>
      <c r="AF77" s="80">
        <f t="shared" si="25"/>
        <v>15.31</v>
      </c>
    </row>
    <row r="78" spans="1:32" ht="30">
      <c r="A78" s="3">
        <v>77</v>
      </c>
      <c r="B78" s="1" t="s">
        <v>16</v>
      </c>
      <c r="C78" s="1" t="s">
        <v>92</v>
      </c>
      <c r="D78" s="2">
        <v>13.5</v>
      </c>
      <c r="E78" s="2">
        <v>13.5</v>
      </c>
      <c r="F78" s="2">
        <v>10.75</v>
      </c>
      <c r="G78" s="2">
        <v>14.25</v>
      </c>
      <c r="H78" s="5">
        <v>765</v>
      </c>
      <c r="I78" s="5">
        <v>987</v>
      </c>
      <c r="J78" s="6">
        <v>1.2901960784313726</v>
      </c>
      <c r="K78" s="5">
        <v>810</v>
      </c>
      <c r="L78" s="5">
        <v>801</v>
      </c>
      <c r="M78" s="6">
        <v>0.98888888888888893</v>
      </c>
      <c r="N78" s="5">
        <v>900</v>
      </c>
      <c r="O78" s="5">
        <v>1085</v>
      </c>
      <c r="P78" s="6">
        <v>1.2055555555555555</v>
      </c>
      <c r="Q78" s="62">
        <f>N78</f>
        <v>900</v>
      </c>
      <c r="R78" s="83">
        <f t="shared" si="13"/>
        <v>1128.4000000000001</v>
      </c>
      <c r="S78" s="63">
        <f>R78/Q78</f>
        <v>1.2537777777777779</v>
      </c>
      <c r="T78">
        <f>(R78-O78)/O78</f>
        <v>4.0000000000000084E-2</v>
      </c>
      <c r="U78">
        <f t="shared" si="14"/>
        <v>56.000000000000007</v>
      </c>
      <c r="V78">
        <f t="shared" si="15"/>
        <v>72.999999999999986</v>
      </c>
      <c r="W78">
        <f t="shared" si="16"/>
        <v>42.000000000000007</v>
      </c>
      <c r="X78">
        <f t="shared" si="17"/>
        <v>54.1</v>
      </c>
      <c r="Y78">
        <f t="shared" si="18"/>
        <v>5.0000000000000001E-3</v>
      </c>
      <c r="Z78">
        <f t="shared" si="19"/>
        <v>14</v>
      </c>
      <c r="AA78">
        <f t="shared" si="20"/>
        <v>5.0000000000000001E-3</v>
      </c>
      <c r="AB78">
        <f t="shared" si="21"/>
        <v>1.0955056179775276E-2</v>
      </c>
      <c r="AC78">
        <f t="shared" si="22"/>
        <v>1.5955056179775277E-2</v>
      </c>
      <c r="AD78">
        <f t="shared" si="23"/>
        <v>1.0559550561797753</v>
      </c>
      <c r="AE78">
        <f t="shared" si="24"/>
        <v>13.05</v>
      </c>
      <c r="AF78" s="80">
        <f t="shared" si="25"/>
        <v>13.78</v>
      </c>
    </row>
    <row r="79" spans="1:32" ht="30">
      <c r="A79" s="3">
        <v>78</v>
      </c>
      <c r="B79" s="1" t="s">
        <v>16</v>
      </c>
      <c r="C79" s="1" t="s">
        <v>93</v>
      </c>
      <c r="D79" s="2">
        <v>14</v>
      </c>
      <c r="E79" s="2">
        <v>14</v>
      </c>
      <c r="F79" s="2">
        <v>10.5</v>
      </c>
      <c r="G79" s="2">
        <v>12.75</v>
      </c>
      <c r="H79" s="5">
        <v>720</v>
      </c>
      <c r="I79" s="5">
        <v>974</v>
      </c>
      <c r="J79" s="6">
        <v>1.3527777777777779</v>
      </c>
      <c r="K79" s="5">
        <v>765</v>
      </c>
      <c r="L79" s="5">
        <v>632</v>
      </c>
      <c r="M79" s="6">
        <v>0.82614379084967315</v>
      </c>
      <c r="N79" s="5">
        <v>855</v>
      </c>
      <c r="O79" s="5">
        <v>711</v>
      </c>
      <c r="P79" s="6">
        <v>0.83157894736842108</v>
      </c>
      <c r="Q79" s="62">
        <f>N79</f>
        <v>855</v>
      </c>
      <c r="R79" s="83">
        <f t="shared" si="13"/>
        <v>739.44</v>
      </c>
      <c r="S79" s="63">
        <f>R79/Q79</f>
        <v>0.86484210526315797</v>
      </c>
      <c r="T79">
        <f>(R79-O79)/O79</f>
        <v>4.0000000000000077E-2</v>
      </c>
      <c r="U79">
        <f t="shared" si="14"/>
        <v>52</v>
      </c>
      <c r="V79">
        <f t="shared" si="15"/>
        <v>73.999999999999986</v>
      </c>
      <c r="W79">
        <f t="shared" si="16"/>
        <v>46.000000000000021</v>
      </c>
      <c r="X79">
        <f t="shared" si="17"/>
        <v>55.6</v>
      </c>
      <c r="Y79">
        <f t="shared" si="18"/>
        <v>5.0000000000000001E-3</v>
      </c>
      <c r="Z79">
        <f t="shared" si="19"/>
        <v>5.9999999999999787</v>
      </c>
      <c r="AA79">
        <f t="shared" si="20"/>
        <v>5.0000000000000001E-3</v>
      </c>
      <c r="AB79">
        <f t="shared" si="21"/>
        <v>3.2894736842105756E-4</v>
      </c>
      <c r="AC79">
        <f t="shared" si="22"/>
        <v>5.3289473684210581E-3</v>
      </c>
      <c r="AD79">
        <f t="shared" si="23"/>
        <v>1.0453289473684211</v>
      </c>
      <c r="AE79">
        <f t="shared" si="24"/>
        <v>12.325000000000001</v>
      </c>
      <c r="AF79" s="80">
        <f t="shared" si="25"/>
        <v>12.88</v>
      </c>
    </row>
    <row r="80" spans="1:32" ht="30">
      <c r="A80" s="3">
        <v>79</v>
      </c>
      <c r="B80" s="1" t="s">
        <v>16</v>
      </c>
      <c r="C80" s="1" t="s">
        <v>94</v>
      </c>
      <c r="D80" s="2">
        <v>15.75</v>
      </c>
      <c r="E80" s="2">
        <v>15.75</v>
      </c>
      <c r="F80" s="2">
        <v>13.75</v>
      </c>
      <c r="G80" s="2">
        <v>16.25</v>
      </c>
      <c r="H80" s="5">
        <v>630</v>
      </c>
      <c r="I80" s="5">
        <v>1068</v>
      </c>
      <c r="J80" s="6">
        <v>1.6952380952380952</v>
      </c>
      <c r="K80" s="5">
        <v>765</v>
      </c>
      <c r="L80" s="5">
        <v>790</v>
      </c>
      <c r="M80" s="6">
        <v>1.0326797385620916</v>
      </c>
      <c r="N80" s="5">
        <v>900</v>
      </c>
      <c r="O80" s="5">
        <v>1316</v>
      </c>
      <c r="P80" s="6">
        <v>1.4622222222222223</v>
      </c>
      <c r="Q80" s="62">
        <f>N80</f>
        <v>900</v>
      </c>
      <c r="R80" s="83">
        <f t="shared" si="13"/>
        <v>1368.64</v>
      </c>
      <c r="S80" s="63">
        <f>R80/Q80</f>
        <v>1.5207111111111111</v>
      </c>
      <c r="T80">
        <f>(R80-O80)/O80</f>
        <v>4.0000000000000077E-2</v>
      </c>
      <c r="U80">
        <f t="shared" si="14"/>
        <v>41</v>
      </c>
      <c r="V80">
        <f t="shared" si="15"/>
        <v>59.000000000000007</v>
      </c>
      <c r="W80">
        <f t="shared" si="16"/>
        <v>33.999999999999979</v>
      </c>
      <c r="X80">
        <f t="shared" si="17"/>
        <v>42.899999999999991</v>
      </c>
      <c r="Y80">
        <f t="shared" si="18"/>
        <v>5.0000000000000001E-3</v>
      </c>
      <c r="Z80">
        <f t="shared" si="19"/>
        <v>7.0000000000000213</v>
      </c>
      <c r="AA80">
        <f t="shared" si="20"/>
        <v>5.0000000000000001E-3</v>
      </c>
      <c r="AB80">
        <f t="shared" si="21"/>
        <v>2.0797468354430377E-2</v>
      </c>
      <c r="AC80">
        <f t="shared" si="22"/>
        <v>2.5797468354430378E-2</v>
      </c>
      <c r="AD80">
        <f t="shared" si="23"/>
        <v>1.0657974683544305</v>
      </c>
      <c r="AE80">
        <f t="shared" si="24"/>
        <v>15.4</v>
      </c>
      <c r="AF80" s="80">
        <f t="shared" si="25"/>
        <v>16.41</v>
      </c>
    </row>
    <row r="81" spans="1:32" ht="30">
      <c r="A81" s="3">
        <v>80</v>
      </c>
      <c r="B81" s="1" t="s">
        <v>16</v>
      </c>
      <c r="C81" s="1" t="s">
        <v>95</v>
      </c>
      <c r="D81" s="2">
        <v>14</v>
      </c>
      <c r="E81" s="2">
        <v>14</v>
      </c>
      <c r="F81" s="2">
        <v>12</v>
      </c>
      <c r="G81" s="2">
        <v>13.5</v>
      </c>
      <c r="H81" s="5">
        <v>510</v>
      </c>
      <c r="I81" s="5">
        <v>330</v>
      </c>
      <c r="J81" s="6">
        <v>0.6470588235294118</v>
      </c>
      <c r="K81" s="5">
        <v>360</v>
      </c>
      <c r="L81" s="5">
        <v>284</v>
      </c>
      <c r="M81" s="6">
        <v>0.78888888888888886</v>
      </c>
      <c r="N81" s="5">
        <v>450</v>
      </c>
      <c r="O81" s="5">
        <v>307</v>
      </c>
      <c r="P81" s="6">
        <v>0.68222222222222217</v>
      </c>
      <c r="Q81" s="62">
        <f>N81</f>
        <v>450</v>
      </c>
      <c r="R81" s="83">
        <f t="shared" si="13"/>
        <v>319.28000000000003</v>
      </c>
      <c r="S81" s="63">
        <f>R81/Q81</f>
        <v>0.7095111111111112</v>
      </c>
      <c r="T81">
        <f>(R81-O81)/O81</f>
        <v>4.0000000000000098E-2</v>
      </c>
      <c r="U81">
        <f t="shared" si="14"/>
        <v>52</v>
      </c>
      <c r="V81">
        <f t="shared" si="15"/>
        <v>68</v>
      </c>
      <c r="W81">
        <f t="shared" si="16"/>
        <v>44.000000000000014</v>
      </c>
      <c r="X81">
        <f t="shared" si="17"/>
        <v>52.800000000000004</v>
      </c>
      <c r="Y81">
        <f t="shared" si="18"/>
        <v>5.0000000000000001E-3</v>
      </c>
      <c r="Z81">
        <f t="shared" si="19"/>
        <v>7.9999999999999858</v>
      </c>
      <c r="AA81">
        <f t="shared" si="20"/>
        <v>5.0000000000000001E-3</v>
      </c>
      <c r="AB81">
        <f t="shared" si="21"/>
        <v>-6.7605633802816922E-3</v>
      </c>
      <c r="AC81">
        <f t="shared" si="22"/>
        <v>-1.7605633802816921E-3</v>
      </c>
      <c r="AD81">
        <f t="shared" si="23"/>
        <v>1.0382394366197183</v>
      </c>
      <c r="AE81">
        <f t="shared" si="24"/>
        <v>13.15</v>
      </c>
      <c r="AF81" s="80">
        <f t="shared" si="25"/>
        <v>13.65</v>
      </c>
    </row>
    <row r="82" spans="1:32" ht="30">
      <c r="A82" s="3">
        <v>81</v>
      </c>
      <c r="B82" s="1" t="s">
        <v>16</v>
      </c>
      <c r="C82" s="1" t="s">
        <v>96</v>
      </c>
      <c r="D82" s="2">
        <v>12.5</v>
      </c>
      <c r="E82" s="2">
        <v>12.5</v>
      </c>
      <c r="F82" s="2">
        <v>10.5</v>
      </c>
      <c r="G82" s="2">
        <v>10.75</v>
      </c>
      <c r="H82" s="5">
        <v>765</v>
      </c>
      <c r="I82" s="5">
        <v>296</v>
      </c>
      <c r="J82" s="6">
        <v>0.38692810457516341</v>
      </c>
      <c r="K82" s="5">
        <v>675</v>
      </c>
      <c r="L82" s="5">
        <v>251</v>
      </c>
      <c r="M82" s="6">
        <v>0.37185185185185188</v>
      </c>
      <c r="N82" s="5">
        <v>855</v>
      </c>
      <c r="O82" s="5">
        <v>298</v>
      </c>
      <c r="P82" s="6">
        <v>0.34853801169590642</v>
      </c>
      <c r="Q82" s="62">
        <f>N82</f>
        <v>855</v>
      </c>
      <c r="R82" s="83">
        <f t="shared" si="13"/>
        <v>309.92</v>
      </c>
      <c r="S82" s="63">
        <f>R82/Q82</f>
        <v>0.36247953216374273</v>
      </c>
      <c r="T82">
        <f>(R82-O82)/O82</f>
        <v>4.0000000000000056E-2</v>
      </c>
      <c r="U82">
        <f t="shared" si="14"/>
        <v>64.000000000000014</v>
      </c>
      <c r="V82">
        <f t="shared" si="15"/>
        <v>73.999999999999986</v>
      </c>
      <c r="W82">
        <f t="shared" si="16"/>
        <v>53.000000000000057</v>
      </c>
      <c r="X82">
        <f t="shared" si="17"/>
        <v>61.500000000000028</v>
      </c>
      <c r="Y82">
        <f t="shared" si="18"/>
        <v>5.0000000000000001E-3</v>
      </c>
      <c r="Z82">
        <f t="shared" si="19"/>
        <v>10.999999999999957</v>
      </c>
      <c r="AA82">
        <f t="shared" si="20"/>
        <v>5.0000000000000001E-3</v>
      </c>
      <c r="AB82">
        <f t="shared" si="21"/>
        <v>-3.1348291046340996E-3</v>
      </c>
      <c r="AC82">
        <f t="shared" si="22"/>
        <v>1.8651708953659005E-3</v>
      </c>
      <c r="AD82">
        <f t="shared" si="23"/>
        <v>1.0418651708953659</v>
      </c>
      <c r="AE82">
        <f t="shared" si="24"/>
        <v>11.025</v>
      </c>
      <c r="AF82" s="80">
        <f t="shared" si="25"/>
        <v>11.49</v>
      </c>
    </row>
    <row r="83" spans="1:32" ht="30">
      <c r="A83" s="3">
        <v>82</v>
      </c>
      <c r="B83" s="1" t="s">
        <v>16</v>
      </c>
      <c r="C83" s="1" t="s">
        <v>97</v>
      </c>
      <c r="D83" s="2">
        <v>15</v>
      </c>
      <c r="E83" s="2">
        <v>15</v>
      </c>
      <c r="F83" s="2">
        <v>12.75</v>
      </c>
      <c r="G83" s="2">
        <v>14.25</v>
      </c>
      <c r="H83" s="5">
        <v>675</v>
      </c>
      <c r="I83" s="5">
        <v>1047</v>
      </c>
      <c r="J83" s="6">
        <v>1.5511111111111111</v>
      </c>
      <c r="K83" s="5">
        <v>630</v>
      </c>
      <c r="L83" s="5">
        <v>690</v>
      </c>
      <c r="M83" s="6">
        <v>1.0952380952380953</v>
      </c>
      <c r="N83" s="5">
        <v>900</v>
      </c>
      <c r="O83" s="5">
        <v>939</v>
      </c>
      <c r="P83" s="6">
        <v>1.0433333333333332</v>
      </c>
      <c r="Q83" s="62">
        <f>N83</f>
        <v>900</v>
      </c>
      <c r="R83" s="83">
        <f t="shared" si="13"/>
        <v>976.56000000000006</v>
      </c>
      <c r="S83" s="63">
        <f>R83/Q83</f>
        <v>1.0850666666666666</v>
      </c>
      <c r="T83">
        <f>(R83-O83)/O83</f>
        <v>4.0000000000000063E-2</v>
      </c>
      <c r="U83">
        <f t="shared" si="14"/>
        <v>46.000000000000007</v>
      </c>
      <c r="V83">
        <f t="shared" si="15"/>
        <v>64</v>
      </c>
      <c r="W83">
        <f t="shared" si="16"/>
        <v>42.000000000000007</v>
      </c>
      <c r="X83">
        <f t="shared" si="17"/>
        <v>49.400000000000006</v>
      </c>
      <c r="Y83">
        <f t="shared" si="18"/>
        <v>5.0000000000000001E-3</v>
      </c>
      <c r="Z83">
        <f t="shared" si="19"/>
        <v>4</v>
      </c>
      <c r="AA83">
        <f t="shared" si="20"/>
        <v>2.5000000000000001E-3</v>
      </c>
      <c r="AB83">
        <f t="shared" si="21"/>
        <v>-2.3695652173913138E-3</v>
      </c>
      <c r="AC83">
        <f t="shared" si="22"/>
        <v>1.3043478260868621E-4</v>
      </c>
      <c r="AD83">
        <f t="shared" si="23"/>
        <v>1.0401304347826088</v>
      </c>
      <c r="AE83">
        <f t="shared" si="24"/>
        <v>13.95</v>
      </c>
      <c r="AF83" s="80">
        <f t="shared" si="25"/>
        <v>14.51</v>
      </c>
    </row>
    <row r="84" spans="1:32" ht="30">
      <c r="A84" s="3">
        <v>83</v>
      </c>
      <c r="B84" s="1" t="s">
        <v>16</v>
      </c>
      <c r="C84" s="1" t="s">
        <v>98</v>
      </c>
      <c r="D84" s="2">
        <v>11.5</v>
      </c>
      <c r="E84" s="2">
        <v>11.5</v>
      </c>
      <c r="F84" s="2">
        <v>10.5</v>
      </c>
      <c r="G84" s="2">
        <v>10.5</v>
      </c>
      <c r="H84" s="5">
        <v>765</v>
      </c>
      <c r="I84" s="5">
        <v>397</v>
      </c>
      <c r="J84" s="6">
        <v>0.51895424836601312</v>
      </c>
      <c r="K84" s="5">
        <v>495</v>
      </c>
      <c r="L84" s="5">
        <v>341</v>
      </c>
      <c r="M84" s="6">
        <v>0.68888888888888888</v>
      </c>
      <c r="N84" s="5">
        <v>720</v>
      </c>
      <c r="O84" s="5">
        <v>391</v>
      </c>
      <c r="P84" s="6">
        <v>0.54305555555555551</v>
      </c>
      <c r="Q84" s="62">
        <f>N84</f>
        <v>720</v>
      </c>
      <c r="R84" s="83">
        <f t="shared" si="13"/>
        <v>406.64</v>
      </c>
      <c r="S84" s="63">
        <f>R84/Q84</f>
        <v>0.56477777777777771</v>
      </c>
      <c r="T84">
        <f>(R84-O84)/O84</f>
        <v>3.9999999999999966E-2</v>
      </c>
      <c r="U84">
        <f t="shared" si="14"/>
        <v>75.000000000000014</v>
      </c>
      <c r="V84">
        <f t="shared" si="15"/>
        <v>73.999999999999986</v>
      </c>
      <c r="W84">
        <f t="shared" si="16"/>
        <v>54.000000000000064</v>
      </c>
      <c r="X84">
        <f t="shared" si="17"/>
        <v>64.200000000000031</v>
      </c>
      <c r="Y84">
        <f t="shared" si="18"/>
        <v>5.0000000000000001E-3</v>
      </c>
      <c r="Z84">
        <f t="shared" si="19"/>
        <v>20.99999999999995</v>
      </c>
      <c r="AA84">
        <f t="shared" si="20"/>
        <v>5.0000000000000001E-3</v>
      </c>
      <c r="AB84">
        <f t="shared" si="21"/>
        <v>-1.0584677419354843E-2</v>
      </c>
      <c r="AC84">
        <f t="shared" si="22"/>
        <v>-5.5846774193548431E-3</v>
      </c>
      <c r="AD84">
        <f t="shared" si="23"/>
        <v>1.0344153225806452</v>
      </c>
      <c r="AE84">
        <f t="shared" si="24"/>
        <v>10.700000000000001</v>
      </c>
      <c r="AF84" s="80">
        <f t="shared" si="25"/>
        <v>11.07</v>
      </c>
    </row>
    <row r="85" spans="1:32" ht="30">
      <c r="A85" s="3">
        <v>84</v>
      </c>
      <c r="B85" s="1" t="s">
        <v>16</v>
      </c>
      <c r="C85" s="1" t="s">
        <v>99</v>
      </c>
      <c r="D85" s="2">
        <v>10.5</v>
      </c>
      <c r="E85" s="2">
        <v>10.5</v>
      </c>
      <c r="F85" s="2">
        <v>10.5</v>
      </c>
      <c r="G85" s="2">
        <v>10</v>
      </c>
      <c r="H85" s="5">
        <v>360</v>
      </c>
      <c r="I85" s="5">
        <v>295</v>
      </c>
      <c r="J85" s="6">
        <v>0.81944444444444442</v>
      </c>
      <c r="K85" s="5">
        <v>360</v>
      </c>
      <c r="L85" s="5">
        <v>238</v>
      </c>
      <c r="M85" s="6">
        <v>0.66111111111111109</v>
      </c>
      <c r="N85" s="5">
        <v>405</v>
      </c>
      <c r="O85" s="5">
        <v>308</v>
      </c>
      <c r="P85" s="6">
        <v>0.76049382716049385</v>
      </c>
      <c r="Q85" s="62">
        <f>N85</f>
        <v>405</v>
      </c>
      <c r="R85" s="83">
        <f t="shared" si="13"/>
        <v>320.32</v>
      </c>
      <c r="S85" s="63">
        <f>R85/Q85</f>
        <v>0.79091358024691361</v>
      </c>
      <c r="T85">
        <f>(R85-O85)/O85</f>
        <v>3.999999999999998E-2</v>
      </c>
      <c r="U85">
        <f t="shared" si="14"/>
        <v>79</v>
      </c>
      <c r="V85">
        <f t="shared" si="15"/>
        <v>73.999999999999986</v>
      </c>
      <c r="W85">
        <f t="shared" si="16"/>
        <v>56.000000000000078</v>
      </c>
      <c r="X85">
        <f t="shared" si="17"/>
        <v>66.000000000000028</v>
      </c>
      <c r="Y85">
        <f t="shared" si="18"/>
        <v>5.0000000000000001E-3</v>
      </c>
      <c r="Z85">
        <f t="shared" si="19"/>
        <v>22.999999999999922</v>
      </c>
      <c r="AA85">
        <f t="shared" si="20"/>
        <v>5.0000000000000001E-3</v>
      </c>
      <c r="AB85">
        <f t="shared" si="21"/>
        <v>7.5163398692810503E-3</v>
      </c>
      <c r="AC85">
        <f t="shared" si="22"/>
        <v>1.2516339869281051E-2</v>
      </c>
      <c r="AD85">
        <f t="shared" si="23"/>
        <v>1.0525163398692812</v>
      </c>
      <c r="AE85">
        <f t="shared" si="24"/>
        <v>10.25</v>
      </c>
      <c r="AF85" s="80">
        <f t="shared" si="25"/>
        <v>10.79</v>
      </c>
    </row>
    <row r="86" spans="1:32" ht="30">
      <c r="A86" s="3">
        <v>85</v>
      </c>
      <c r="B86" s="1" t="s">
        <v>16</v>
      </c>
      <c r="C86" s="1" t="s">
        <v>100</v>
      </c>
      <c r="D86" s="2">
        <v>10.5</v>
      </c>
      <c r="E86" s="2">
        <v>10.5</v>
      </c>
      <c r="F86" s="2">
        <v>10.5</v>
      </c>
      <c r="G86" s="2">
        <v>9</v>
      </c>
      <c r="H86" s="5">
        <v>320</v>
      </c>
      <c r="I86" s="5">
        <v>294</v>
      </c>
      <c r="J86" s="6">
        <v>0.91874999999999996</v>
      </c>
      <c r="K86" s="5">
        <v>320</v>
      </c>
      <c r="L86" s="5">
        <v>238</v>
      </c>
      <c r="M86" s="6">
        <v>0.74375000000000002</v>
      </c>
      <c r="N86" s="5">
        <v>320</v>
      </c>
      <c r="O86" s="5">
        <v>289</v>
      </c>
      <c r="P86" s="6">
        <v>0.90312499999999996</v>
      </c>
      <c r="Q86" s="62">
        <f>N86</f>
        <v>320</v>
      </c>
      <c r="R86" s="83">
        <f t="shared" si="13"/>
        <v>300.56</v>
      </c>
      <c r="S86" s="63">
        <f>R86/Q86</f>
        <v>0.93925000000000003</v>
      </c>
      <c r="T86">
        <f>(R86-O86)/O86</f>
        <v>4.0000000000000008E-2</v>
      </c>
      <c r="U86">
        <f t="shared" si="14"/>
        <v>79</v>
      </c>
      <c r="V86">
        <f t="shared" si="15"/>
        <v>73.999999999999986</v>
      </c>
      <c r="W86">
        <f t="shared" si="16"/>
        <v>57.000000000000078</v>
      </c>
      <c r="X86">
        <f t="shared" si="17"/>
        <v>66.500000000000028</v>
      </c>
      <c r="Y86">
        <f t="shared" si="18"/>
        <v>5.0000000000000001E-3</v>
      </c>
      <c r="Z86">
        <f t="shared" si="19"/>
        <v>21.999999999999922</v>
      </c>
      <c r="AA86">
        <f t="shared" si="20"/>
        <v>5.0000000000000001E-3</v>
      </c>
      <c r="AB86">
        <f t="shared" si="21"/>
        <v>1.0714285714285711E-2</v>
      </c>
      <c r="AC86">
        <f t="shared" si="22"/>
        <v>1.5714285714285712E-2</v>
      </c>
      <c r="AD86">
        <f t="shared" si="23"/>
        <v>1.0557142857142858</v>
      </c>
      <c r="AE86">
        <f t="shared" si="24"/>
        <v>9.75</v>
      </c>
      <c r="AF86" s="80">
        <f t="shared" si="25"/>
        <v>10.29</v>
      </c>
    </row>
    <row r="87" spans="1:32" ht="30">
      <c r="A87" s="3">
        <v>86</v>
      </c>
      <c r="B87" s="1" t="s">
        <v>16</v>
      </c>
      <c r="C87" s="1" t="s">
        <v>101</v>
      </c>
      <c r="D87" s="2">
        <v>10.5</v>
      </c>
      <c r="E87" s="2">
        <v>10.5</v>
      </c>
      <c r="F87" s="2">
        <v>10.5</v>
      </c>
      <c r="G87" s="2">
        <v>10</v>
      </c>
      <c r="H87" s="5">
        <v>460</v>
      </c>
      <c r="I87" s="5">
        <v>426</v>
      </c>
      <c r="J87" s="6">
        <v>0.92608695652173911</v>
      </c>
      <c r="K87" s="5">
        <v>315</v>
      </c>
      <c r="L87" s="5">
        <v>273</v>
      </c>
      <c r="M87" s="6">
        <v>0.8666666666666667</v>
      </c>
      <c r="N87" s="5">
        <v>360</v>
      </c>
      <c r="O87" s="5">
        <v>359</v>
      </c>
      <c r="P87" s="6">
        <v>0.99722222222222223</v>
      </c>
      <c r="Q87" s="62">
        <f>N87</f>
        <v>360</v>
      </c>
      <c r="R87" s="83">
        <f t="shared" si="13"/>
        <v>373.36</v>
      </c>
      <c r="S87" s="63">
        <f>R87/Q87</f>
        <v>1.0371111111111111</v>
      </c>
      <c r="T87">
        <f>(R87-O87)/O87</f>
        <v>4.0000000000000036E-2</v>
      </c>
      <c r="U87">
        <f t="shared" si="14"/>
        <v>79</v>
      </c>
      <c r="V87">
        <f t="shared" si="15"/>
        <v>73.999999999999986</v>
      </c>
      <c r="W87">
        <f t="shared" si="16"/>
        <v>56.000000000000078</v>
      </c>
      <c r="X87">
        <f t="shared" si="17"/>
        <v>66.000000000000028</v>
      </c>
      <c r="Y87">
        <f t="shared" si="18"/>
        <v>5.0000000000000001E-3</v>
      </c>
      <c r="Z87">
        <f t="shared" si="19"/>
        <v>22.999999999999922</v>
      </c>
      <c r="AA87">
        <f t="shared" si="20"/>
        <v>5.0000000000000001E-3</v>
      </c>
      <c r="AB87">
        <f t="shared" si="21"/>
        <v>7.5320512820512804E-3</v>
      </c>
      <c r="AC87">
        <f t="shared" si="22"/>
        <v>1.2532051282051281E-2</v>
      </c>
      <c r="AD87">
        <f t="shared" si="23"/>
        <v>1.0525320512820513</v>
      </c>
      <c r="AE87">
        <f t="shared" si="24"/>
        <v>10.25</v>
      </c>
      <c r="AF87" s="80">
        <f t="shared" si="25"/>
        <v>10.79</v>
      </c>
    </row>
    <row r="88" spans="1:32" ht="30">
      <c r="A88" s="3">
        <v>87</v>
      </c>
      <c r="B88" s="1" t="s">
        <v>16</v>
      </c>
      <c r="C88" s="1" t="s">
        <v>102</v>
      </c>
      <c r="D88" s="2">
        <v>16.25</v>
      </c>
      <c r="E88" s="2">
        <v>16.25</v>
      </c>
      <c r="F88" s="2">
        <v>12.25</v>
      </c>
      <c r="G88" s="2">
        <v>16</v>
      </c>
      <c r="H88" s="5">
        <v>720</v>
      </c>
      <c r="I88" s="5">
        <v>1076</v>
      </c>
      <c r="J88" s="6">
        <v>1.4944444444444445</v>
      </c>
      <c r="K88" s="5">
        <v>720</v>
      </c>
      <c r="L88" s="5">
        <v>736</v>
      </c>
      <c r="M88" s="6">
        <v>1.0222222222222221</v>
      </c>
      <c r="N88" s="5">
        <v>810</v>
      </c>
      <c r="O88" s="5">
        <v>1187</v>
      </c>
      <c r="P88" s="6">
        <v>1.4654320987654321</v>
      </c>
      <c r="Q88" s="62">
        <f>N88</f>
        <v>810</v>
      </c>
      <c r="R88" s="83">
        <f t="shared" si="13"/>
        <v>1234.48</v>
      </c>
      <c r="S88" s="63">
        <f>R88/Q88</f>
        <v>1.5240493827160495</v>
      </c>
      <c r="T88">
        <f>(R88-O88)/O88</f>
        <v>4.0000000000000015E-2</v>
      </c>
      <c r="U88">
        <f t="shared" si="14"/>
        <v>37</v>
      </c>
      <c r="V88">
        <f t="shared" si="15"/>
        <v>65.999999999999986</v>
      </c>
      <c r="W88">
        <f t="shared" si="16"/>
        <v>34.999999999999972</v>
      </c>
      <c r="X88">
        <f t="shared" si="17"/>
        <v>44.699999999999982</v>
      </c>
      <c r="Y88">
        <f t="shared" si="18"/>
        <v>5.0000000000000001E-3</v>
      </c>
      <c r="Z88">
        <f t="shared" si="19"/>
        <v>2.0000000000000284</v>
      </c>
      <c r="AA88">
        <f t="shared" si="20"/>
        <v>2.5000000000000001E-3</v>
      </c>
      <c r="AB88">
        <f t="shared" si="21"/>
        <v>2.1678743961352664E-2</v>
      </c>
      <c r="AC88">
        <f t="shared" si="22"/>
        <v>2.4178743961352663E-2</v>
      </c>
      <c r="AD88">
        <f t="shared" si="23"/>
        <v>1.0641787439613526</v>
      </c>
      <c r="AE88">
        <f t="shared" si="24"/>
        <v>14.925000000000001</v>
      </c>
      <c r="AF88" s="80">
        <f t="shared" si="25"/>
        <v>15.88</v>
      </c>
    </row>
    <row r="89" spans="1:32" ht="30">
      <c r="A89" s="3">
        <v>88</v>
      </c>
      <c r="B89" s="1" t="s">
        <v>16</v>
      </c>
      <c r="C89" s="1" t="s">
        <v>103</v>
      </c>
      <c r="D89" s="2">
        <v>13</v>
      </c>
      <c r="E89" s="2">
        <v>13</v>
      </c>
      <c r="F89" s="2">
        <v>11.5</v>
      </c>
      <c r="G89" s="2">
        <v>12.25</v>
      </c>
      <c r="H89" s="5">
        <v>630</v>
      </c>
      <c r="I89" s="5">
        <v>619</v>
      </c>
      <c r="J89" s="6">
        <v>0.98253968253968249</v>
      </c>
      <c r="K89" s="5">
        <v>540</v>
      </c>
      <c r="L89" s="5">
        <v>529</v>
      </c>
      <c r="M89" s="6">
        <v>0.97962962962962963</v>
      </c>
      <c r="N89" s="5">
        <v>810</v>
      </c>
      <c r="O89" s="5">
        <v>678</v>
      </c>
      <c r="P89" s="6">
        <v>0.83703703703703702</v>
      </c>
      <c r="Q89" s="62">
        <f>N89</f>
        <v>810</v>
      </c>
      <c r="R89" s="83">
        <f t="shared" si="13"/>
        <v>705.12</v>
      </c>
      <c r="S89" s="63">
        <f>R89/Q89</f>
        <v>0.87051851851851847</v>
      </c>
      <c r="T89">
        <f>(R89-O89)/O89</f>
        <v>4.0000000000000008E-2</v>
      </c>
      <c r="U89">
        <f t="shared" si="14"/>
        <v>61.000000000000014</v>
      </c>
      <c r="V89">
        <f t="shared" si="15"/>
        <v>69.999999999999986</v>
      </c>
      <c r="W89">
        <f t="shared" si="16"/>
        <v>48.000000000000036</v>
      </c>
      <c r="X89">
        <f t="shared" si="17"/>
        <v>57.200000000000017</v>
      </c>
      <c r="Y89">
        <f t="shared" si="18"/>
        <v>5.0000000000000001E-3</v>
      </c>
      <c r="Z89">
        <f t="shared" si="19"/>
        <v>12.999999999999979</v>
      </c>
      <c r="AA89">
        <f t="shared" si="20"/>
        <v>5.0000000000000001E-3</v>
      </c>
      <c r="AB89">
        <f t="shared" si="21"/>
        <v>-7.2778827977315694E-3</v>
      </c>
      <c r="AC89">
        <f t="shared" si="22"/>
        <v>-2.2778827977315693E-3</v>
      </c>
      <c r="AD89">
        <f t="shared" si="23"/>
        <v>1.0377221172022684</v>
      </c>
      <c r="AE89">
        <f t="shared" si="24"/>
        <v>12.174999999999999</v>
      </c>
      <c r="AF89" s="80">
        <f t="shared" si="25"/>
        <v>12.63</v>
      </c>
    </row>
    <row r="90" spans="1:32" ht="30">
      <c r="A90" s="3">
        <v>89</v>
      </c>
      <c r="B90" s="1" t="s">
        <v>16</v>
      </c>
      <c r="C90" s="1" t="s">
        <v>104</v>
      </c>
      <c r="D90" s="2">
        <v>11.5</v>
      </c>
      <c r="E90" s="2">
        <v>11.5</v>
      </c>
      <c r="F90" s="2">
        <v>10.5</v>
      </c>
      <c r="G90" s="2">
        <v>11.5</v>
      </c>
      <c r="H90" s="5">
        <v>810</v>
      </c>
      <c r="I90" s="5">
        <v>587</v>
      </c>
      <c r="J90" s="6">
        <v>0.72469135802469131</v>
      </c>
      <c r="K90" s="5">
        <v>810</v>
      </c>
      <c r="L90" s="5">
        <v>500</v>
      </c>
      <c r="M90" s="6">
        <v>0.61728395061728392</v>
      </c>
      <c r="N90" s="5">
        <v>810</v>
      </c>
      <c r="O90" s="5">
        <v>594</v>
      </c>
      <c r="P90" s="6">
        <v>0.73333333333333328</v>
      </c>
      <c r="Q90" s="62">
        <f>N90</f>
        <v>810</v>
      </c>
      <c r="R90" s="83">
        <f t="shared" si="13"/>
        <v>617.76</v>
      </c>
      <c r="S90" s="63">
        <f>R90/Q90</f>
        <v>0.7626666666666666</v>
      </c>
      <c r="T90">
        <f>(R90-O90)/O90</f>
        <v>3.9999999999999987E-2</v>
      </c>
      <c r="U90">
        <f t="shared" si="14"/>
        <v>75.000000000000014</v>
      </c>
      <c r="V90">
        <f t="shared" si="15"/>
        <v>73.999999999999986</v>
      </c>
      <c r="W90">
        <f t="shared" si="16"/>
        <v>51.000000000000043</v>
      </c>
      <c r="X90">
        <f t="shared" si="17"/>
        <v>62.700000000000017</v>
      </c>
      <c r="Y90">
        <f t="shared" si="18"/>
        <v>5.0000000000000001E-3</v>
      </c>
      <c r="Z90">
        <f t="shared" si="19"/>
        <v>23.999999999999972</v>
      </c>
      <c r="AA90">
        <f t="shared" si="20"/>
        <v>5.0000000000000001E-3</v>
      </c>
      <c r="AB90">
        <f t="shared" si="21"/>
        <v>9.3999999999999986E-3</v>
      </c>
      <c r="AC90">
        <f t="shared" si="22"/>
        <v>1.44E-2</v>
      </c>
      <c r="AD90">
        <f t="shared" si="23"/>
        <v>1.0544</v>
      </c>
      <c r="AE90">
        <f t="shared" si="24"/>
        <v>11.200000000000001</v>
      </c>
      <c r="AF90" s="80">
        <f t="shared" si="25"/>
        <v>11.81</v>
      </c>
    </row>
    <row r="91" spans="1:32" ht="30">
      <c r="A91" s="3">
        <v>90</v>
      </c>
      <c r="B91" s="1" t="s">
        <v>16</v>
      </c>
      <c r="C91" s="1" t="s">
        <v>105</v>
      </c>
      <c r="D91" s="2">
        <v>15.5</v>
      </c>
      <c r="E91" s="2">
        <v>15.5</v>
      </c>
      <c r="F91" s="2">
        <v>14.25</v>
      </c>
      <c r="G91" s="2">
        <v>16.25</v>
      </c>
      <c r="H91" s="5">
        <v>675</v>
      </c>
      <c r="I91" s="5">
        <v>1119</v>
      </c>
      <c r="J91" s="6">
        <v>1.6577777777777778</v>
      </c>
      <c r="K91" s="5">
        <v>675</v>
      </c>
      <c r="L91" s="5">
        <v>887</v>
      </c>
      <c r="M91" s="6">
        <v>1.3140740740740742</v>
      </c>
      <c r="N91" s="5">
        <v>765</v>
      </c>
      <c r="O91" s="5">
        <v>1288</v>
      </c>
      <c r="P91" s="6">
        <v>1.6836601307189543</v>
      </c>
      <c r="Q91" s="62">
        <f>N91</f>
        <v>765</v>
      </c>
      <c r="R91" s="83">
        <f t="shared" si="13"/>
        <v>1339.52</v>
      </c>
      <c r="S91" s="63">
        <f>R91/Q91</f>
        <v>1.7510065359477125</v>
      </c>
      <c r="T91">
        <f>(R91-O91)/O91</f>
        <v>3.9999999999999987E-2</v>
      </c>
      <c r="U91">
        <f t="shared" si="14"/>
        <v>42</v>
      </c>
      <c r="V91">
        <f t="shared" si="15"/>
        <v>55.000000000000007</v>
      </c>
      <c r="W91">
        <f t="shared" si="16"/>
        <v>33.999999999999979</v>
      </c>
      <c r="X91">
        <f t="shared" si="17"/>
        <v>41.899999999999984</v>
      </c>
      <c r="Y91">
        <f t="shared" si="18"/>
        <v>5.0000000000000001E-3</v>
      </c>
      <c r="Z91">
        <f t="shared" si="19"/>
        <v>8.0000000000000213</v>
      </c>
      <c r="AA91">
        <f t="shared" si="20"/>
        <v>5.0000000000000001E-3</v>
      </c>
      <c r="AB91">
        <f t="shared" si="21"/>
        <v>1.4062603620929766E-2</v>
      </c>
      <c r="AC91">
        <f t="shared" si="22"/>
        <v>1.9062603620929767E-2</v>
      </c>
      <c r="AD91">
        <f t="shared" si="23"/>
        <v>1.0590626036209299</v>
      </c>
      <c r="AE91">
        <f t="shared" si="24"/>
        <v>15.499999999999998</v>
      </c>
      <c r="AF91" s="80">
        <f t="shared" si="25"/>
        <v>16.420000000000002</v>
      </c>
    </row>
    <row r="92" spans="1:32" ht="30">
      <c r="A92" s="3">
        <v>91</v>
      </c>
      <c r="B92" s="1" t="s">
        <v>16</v>
      </c>
      <c r="C92" s="1" t="s">
        <v>106</v>
      </c>
      <c r="D92" s="2">
        <v>11.75</v>
      </c>
      <c r="E92" s="2">
        <v>11.75</v>
      </c>
      <c r="F92" s="2">
        <v>10.5</v>
      </c>
      <c r="G92" s="2">
        <v>10.5</v>
      </c>
      <c r="H92" s="5">
        <v>540</v>
      </c>
      <c r="I92" s="5">
        <v>272</v>
      </c>
      <c r="J92" s="6">
        <v>0.50370370370370365</v>
      </c>
      <c r="K92" s="5">
        <v>585</v>
      </c>
      <c r="L92" s="5">
        <v>254</v>
      </c>
      <c r="M92" s="6">
        <v>0.4341880341880342</v>
      </c>
      <c r="N92" s="5">
        <v>585</v>
      </c>
      <c r="O92" s="5">
        <v>316</v>
      </c>
      <c r="P92" s="6">
        <v>0.54017094017094014</v>
      </c>
      <c r="Q92" s="62">
        <f>N92</f>
        <v>585</v>
      </c>
      <c r="R92" s="83">
        <f t="shared" si="13"/>
        <v>328.64</v>
      </c>
      <c r="S92" s="63">
        <f>R92/Q92</f>
        <v>0.56177777777777771</v>
      </c>
      <c r="T92">
        <f>(R92-O92)/O92</f>
        <v>3.9999999999999959E-2</v>
      </c>
      <c r="U92">
        <f t="shared" si="14"/>
        <v>71.000000000000028</v>
      </c>
      <c r="V92">
        <f t="shared" si="15"/>
        <v>73.999999999999986</v>
      </c>
      <c r="W92">
        <f t="shared" si="16"/>
        <v>54.000000000000064</v>
      </c>
      <c r="X92">
        <f t="shared" si="17"/>
        <v>63.400000000000034</v>
      </c>
      <c r="Y92">
        <f t="shared" si="18"/>
        <v>5.0000000000000001E-3</v>
      </c>
      <c r="Z92">
        <f t="shared" si="19"/>
        <v>16.999999999999964</v>
      </c>
      <c r="AA92">
        <f t="shared" si="20"/>
        <v>5.0000000000000001E-3</v>
      </c>
      <c r="AB92">
        <f t="shared" si="21"/>
        <v>1.2204724409448815E-2</v>
      </c>
      <c r="AC92">
        <f t="shared" si="22"/>
        <v>1.7204724409448816E-2</v>
      </c>
      <c r="AD92">
        <f t="shared" si="23"/>
        <v>1.0572047244094489</v>
      </c>
      <c r="AE92">
        <f t="shared" si="24"/>
        <v>10.75</v>
      </c>
      <c r="AF92" s="80">
        <f t="shared" si="25"/>
        <v>11.36</v>
      </c>
    </row>
    <row r="93" spans="1:32" ht="30">
      <c r="A93" s="3">
        <v>92</v>
      </c>
      <c r="B93" s="1" t="s">
        <v>16</v>
      </c>
      <c r="C93" s="1" t="s">
        <v>107</v>
      </c>
      <c r="D93" s="2">
        <v>13.5</v>
      </c>
      <c r="E93" s="2">
        <v>13.5</v>
      </c>
      <c r="F93" s="2">
        <v>11.75</v>
      </c>
      <c r="G93" s="2">
        <v>13.5</v>
      </c>
      <c r="H93" s="5">
        <v>585</v>
      </c>
      <c r="I93" s="5">
        <v>822</v>
      </c>
      <c r="J93" s="6">
        <v>1.405128205128205</v>
      </c>
      <c r="K93" s="5">
        <v>630</v>
      </c>
      <c r="L93" s="5">
        <v>694</v>
      </c>
      <c r="M93" s="6">
        <v>1.1015873015873017</v>
      </c>
      <c r="N93" s="5">
        <v>720</v>
      </c>
      <c r="O93" s="5">
        <v>849</v>
      </c>
      <c r="P93" s="6">
        <v>1.1791666666666667</v>
      </c>
      <c r="Q93" s="62">
        <f>N93</f>
        <v>720</v>
      </c>
      <c r="R93" s="83">
        <f t="shared" si="13"/>
        <v>882.96</v>
      </c>
      <c r="S93" s="63">
        <f>R93/Q93</f>
        <v>1.2263333333333333</v>
      </c>
      <c r="T93">
        <f>(R93-O93)/O93</f>
        <v>4.0000000000000042E-2</v>
      </c>
      <c r="U93">
        <f t="shared" si="14"/>
        <v>56.000000000000007</v>
      </c>
      <c r="V93">
        <f t="shared" si="15"/>
        <v>68.999999999999986</v>
      </c>
      <c r="W93">
        <f t="shared" si="16"/>
        <v>44.000000000000014</v>
      </c>
      <c r="X93">
        <f t="shared" si="17"/>
        <v>53.900000000000006</v>
      </c>
      <c r="Y93">
        <f t="shared" si="18"/>
        <v>5.0000000000000001E-3</v>
      </c>
      <c r="Z93">
        <f t="shared" si="19"/>
        <v>11.999999999999993</v>
      </c>
      <c r="AA93">
        <f t="shared" si="20"/>
        <v>5.0000000000000001E-3</v>
      </c>
      <c r="AB93">
        <f t="shared" si="21"/>
        <v>3.5212536023054731E-3</v>
      </c>
      <c r="AC93">
        <f t="shared" si="22"/>
        <v>8.5212536023054723E-3</v>
      </c>
      <c r="AD93">
        <f t="shared" si="23"/>
        <v>1.0485212536023054</v>
      </c>
      <c r="AE93">
        <f t="shared" si="24"/>
        <v>12.975000000000001</v>
      </c>
      <c r="AF93" s="80">
        <f t="shared" si="25"/>
        <v>13.6</v>
      </c>
    </row>
    <row r="94" spans="1:32" ht="30">
      <c r="A94" s="3">
        <v>93</v>
      </c>
      <c r="B94" s="1" t="s">
        <v>16</v>
      </c>
      <c r="C94" s="1" t="s">
        <v>108</v>
      </c>
      <c r="D94" s="2">
        <v>14.75</v>
      </c>
      <c r="E94" s="2">
        <v>14.75</v>
      </c>
      <c r="F94" s="2">
        <v>14</v>
      </c>
      <c r="G94" s="2">
        <v>14.75</v>
      </c>
      <c r="H94" s="5">
        <v>585</v>
      </c>
      <c r="I94" s="5">
        <v>1102</v>
      </c>
      <c r="J94" s="6">
        <v>1.8837606837606837</v>
      </c>
      <c r="K94" s="5">
        <v>585</v>
      </c>
      <c r="L94" s="5">
        <v>907</v>
      </c>
      <c r="M94" s="6">
        <v>1.5504273504273505</v>
      </c>
      <c r="N94" s="5">
        <v>720</v>
      </c>
      <c r="O94" s="5">
        <v>1144</v>
      </c>
      <c r="P94" s="6">
        <v>1.5888888888888888</v>
      </c>
      <c r="Q94" s="62">
        <f>N94</f>
        <v>720</v>
      </c>
      <c r="R94" s="83">
        <f t="shared" si="13"/>
        <v>1189.76</v>
      </c>
      <c r="S94" s="63">
        <f>R94/Q94</f>
        <v>1.6524444444444444</v>
      </c>
      <c r="T94">
        <f>(R94-O94)/O94</f>
        <v>3.9999999999999994E-2</v>
      </c>
      <c r="U94">
        <f t="shared" si="14"/>
        <v>48.000000000000007</v>
      </c>
      <c r="V94">
        <f t="shared" si="15"/>
        <v>56.000000000000007</v>
      </c>
      <c r="W94">
        <f t="shared" si="16"/>
        <v>40</v>
      </c>
      <c r="X94">
        <f t="shared" si="17"/>
        <v>46.4</v>
      </c>
      <c r="Y94">
        <f t="shared" si="18"/>
        <v>5.0000000000000001E-3</v>
      </c>
      <c r="Z94">
        <f t="shared" si="19"/>
        <v>8.0000000000000071</v>
      </c>
      <c r="AA94">
        <f t="shared" si="20"/>
        <v>5.0000000000000001E-3</v>
      </c>
      <c r="AB94">
        <f t="shared" si="21"/>
        <v>1.2403528114663682E-3</v>
      </c>
      <c r="AC94">
        <f t="shared" si="22"/>
        <v>6.2403528114663683E-3</v>
      </c>
      <c r="AD94">
        <f t="shared" si="23"/>
        <v>1.0462403528114663</v>
      </c>
      <c r="AE94">
        <f t="shared" si="24"/>
        <v>14.524999999999999</v>
      </c>
      <c r="AF94" s="80">
        <f t="shared" si="25"/>
        <v>15.2</v>
      </c>
    </row>
    <row r="95" spans="1:32" ht="30">
      <c r="A95" s="3">
        <v>94</v>
      </c>
      <c r="B95" s="1" t="s">
        <v>16</v>
      </c>
      <c r="C95" s="1" t="s">
        <v>109</v>
      </c>
      <c r="D95" s="2">
        <v>22.5</v>
      </c>
      <c r="E95" s="2">
        <v>22.5</v>
      </c>
      <c r="F95" s="2">
        <v>23</v>
      </c>
      <c r="G95" s="2">
        <v>24</v>
      </c>
      <c r="H95" s="5">
        <v>665</v>
      </c>
      <c r="I95" s="5">
        <v>1191</v>
      </c>
      <c r="J95" s="6">
        <v>1.7909774436090224</v>
      </c>
      <c r="K95" s="5">
        <v>630</v>
      </c>
      <c r="L95" s="5">
        <v>1092</v>
      </c>
      <c r="M95" s="6">
        <v>1.7333333333333334</v>
      </c>
      <c r="N95" s="5">
        <v>765</v>
      </c>
      <c r="O95" s="5">
        <v>1463</v>
      </c>
      <c r="P95" s="6">
        <v>1.9124183006535949</v>
      </c>
      <c r="Q95" s="62">
        <f>N95</f>
        <v>765</v>
      </c>
      <c r="R95" s="83">
        <f t="shared" si="13"/>
        <v>1521.52</v>
      </c>
      <c r="S95" s="63">
        <f>R95/Q95</f>
        <v>1.9889150326797385</v>
      </c>
      <c r="T95">
        <f>(R95-O95)/O95</f>
        <v>3.9999999999999987E-2</v>
      </c>
      <c r="U95">
        <f t="shared" si="14"/>
        <v>6</v>
      </c>
      <c r="V95">
        <f t="shared" si="15"/>
        <v>4</v>
      </c>
      <c r="W95">
        <f t="shared" si="16"/>
        <v>4</v>
      </c>
      <c r="X95">
        <f t="shared" si="17"/>
        <v>4.4000000000000004</v>
      </c>
      <c r="Y95">
        <f t="shared" si="18"/>
        <v>2E-3</v>
      </c>
      <c r="Z95">
        <f t="shared" si="19"/>
        <v>2</v>
      </c>
      <c r="AA95">
        <f t="shared" si="20"/>
        <v>1E-3</v>
      </c>
      <c r="AB95">
        <f t="shared" si="21"/>
        <v>1.5497737556561086E-3</v>
      </c>
      <c r="AC95">
        <f t="shared" si="22"/>
        <v>2.5497737556561088E-3</v>
      </c>
      <c r="AD95">
        <f t="shared" si="23"/>
        <v>1.0425497737556562</v>
      </c>
      <c r="AE95">
        <f t="shared" si="24"/>
        <v>23.4</v>
      </c>
      <c r="AF95" s="80">
        <f t="shared" si="25"/>
        <v>24.4</v>
      </c>
    </row>
    <row r="96" spans="1:32" ht="30">
      <c r="A96" s="3">
        <v>95</v>
      </c>
      <c r="B96" s="1" t="s">
        <v>16</v>
      </c>
      <c r="C96" s="1" t="s">
        <v>110</v>
      </c>
      <c r="D96" s="2">
        <v>19.75</v>
      </c>
      <c r="E96" s="2">
        <v>19.75</v>
      </c>
      <c r="F96" s="2">
        <v>20.25</v>
      </c>
      <c r="G96" s="2">
        <v>20.75</v>
      </c>
      <c r="H96" s="5">
        <v>540</v>
      </c>
      <c r="I96" s="5">
        <v>995</v>
      </c>
      <c r="J96" s="6">
        <v>1.8425925925925926</v>
      </c>
      <c r="K96" s="5">
        <v>495</v>
      </c>
      <c r="L96" s="5">
        <v>748</v>
      </c>
      <c r="M96" s="6">
        <v>1.5111111111111111</v>
      </c>
      <c r="N96" s="5">
        <v>765</v>
      </c>
      <c r="O96" s="5">
        <v>1063</v>
      </c>
      <c r="P96" s="6">
        <v>1.3895424836601307</v>
      </c>
      <c r="Q96" s="62">
        <f>N96</f>
        <v>765</v>
      </c>
      <c r="R96" s="83">
        <f t="shared" si="13"/>
        <v>1105.52</v>
      </c>
      <c r="S96" s="63">
        <f>R96/Q96</f>
        <v>1.445124183006536</v>
      </c>
      <c r="T96">
        <f>(R96-O96)/O96</f>
        <v>3.999999999999998E-2</v>
      </c>
      <c r="U96">
        <f t="shared" si="14"/>
        <v>15</v>
      </c>
      <c r="V96">
        <f t="shared" si="15"/>
        <v>14</v>
      </c>
      <c r="W96">
        <f t="shared" si="16"/>
        <v>17.000000000000004</v>
      </c>
      <c r="X96">
        <f t="shared" si="17"/>
        <v>15.700000000000003</v>
      </c>
      <c r="Y96">
        <f t="shared" si="18"/>
        <v>3.0000000000000001E-3</v>
      </c>
      <c r="Z96">
        <f t="shared" si="19"/>
        <v>-2.0000000000000036</v>
      </c>
      <c r="AA96">
        <f t="shared" si="20"/>
        <v>0</v>
      </c>
      <c r="AB96">
        <f t="shared" si="21"/>
        <v>-4.8269896193771636E-3</v>
      </c>
      <c r="AC96">
        <f t="shared" si="22"/>
        <v>-4.8269896193771636E-3</v>
      </c>
      <c r="AD96">
        <f t="shared" si="23"/>
        <v>1.0351730103806229</v>
      </c>
      <c r="AE96">
        <f t="shared" si="24"/>
        <v>20.399999999999999</v>
      </c>
      <c r="AF96" s="80">
        <f t="shared" si="25"/>
        <v>21.12</v>
      </c>
    </row>
    <row r="97" spans="1:32" ht="30">
      <c r="A97" s="3">
        <v>96</v>
      </c>
      <c r="B97" s="1" t="s">
        <v>16</v>
      </c>
      <c r="C97" s="1" t="s">
        <v>111</v>
      </c>
      <c r="D97" s="2">
        <v>18.5</v>
      </c>
      <c r="E97" s="2">
        <v>18.5</v>
      </c>
      <c r="F97" s="2">
        <v>19</v>
      </c>
      <c r="G97" s="2">
        <v>20.5</v>
      </c>
      <c r="H97" s="5">
        <v>675</v>
      </c>
      <c r="I97" s="5">
        <v>1032</v>
      </c>
      <c r="J97" s="6">
        <v>1.528888888888889</v>
      </c>
      <c r="K97" s="5">
        <v>630</v>
      </c>
      <c r="L97" s="5">
        <v>864</v>
      </c>
      <c r="M97" s="6">
        <v>1.3714285714285714</v>
      </c>
      <c r="N97" s="5">
        <v>810</v>
      </c>
      <c r="O97" s="5">
        <v>1345</v>
      </c>
      <c r="P97" s="6">
        <v>1.6604938271604939</v>
      </c>
      <c r="Q97" s="62">
        <f>N97</f>
        <v>810</v>
      </c>
      <c r="R97" s="83">
        <f t="shared" si="13"/>
        <v>1398.8</v>
      </c>
      <c r="S97" s="63">
        <f>R97/Q97</f>
        <v>1.7269135802469135</v>
      </c>
      <c r="T97">
        <f>(R97-O97)/O97</f>
        <v>3.9999999999999966E-2</v>
      </c>
      <c r="U97">
        <f t="shared" si="14"/>
        <v>20</v>
      </c>
      <c r="V97">
        <f t="shared" si="15"/>
        <v>20</v>
      </c>
      <c r="W97">
        <f t="shared" si="16"/>
        <v>18</v>
      </c>
      <c r="X97">
        <f t="shared" si="17"/>
        <v>19</v>
      </c>
      <c r="Y97">
        <f t="shared" si="18"/>
        <v>3.0000000000000001E-3</v>
      </c>
      <c r="Z97">
        <f t="shared" si="19"/>
        <v>2</v>
      </c>
      <c r="AA97">
        <f t="shared" si="20"/>
        <v>1.5E-3</v>
      </c>
      <c r="AB97">
        <f t="shared" si="21"/>
        <v>1.2646604938271607E-2</v>
      </c>
      <c r="AC97">
        <f t="shared" si="22"/>
        <v>1.4146604938271606E-2</v>
      </c>
      <c r="AD97">
        <f t="shared" si="23"/>
        <v>1.0541466049382717</v>
      </c>
      <c r="AE97">
        <f t="shared" si="24"/>
        <v>19.649999999999999</v>
      </c>
      <c r="AF97" s="80">
        <f t="shared" si="25"/>
        <v>20.71</v>
      </c>
    </row>
    <row r="98" spans="1:32" ht="30">
      <c r="A98" s="3">
        <v>97</v>
      </c>
      <c r="B98" s="1" t="s">
        <v>16</v>
      </c>
      <c r="C98" s="1" t="s">
        <v>112</v>
      </c>
      <c r="D98" s="2">
        <v>16.5</v>
      </c>
      <c r="E98" s="2">
        <v>16.5</v>
      </c>
      <c r="F98" s="2">
        <v>14.75</v>
      </c>
      <c r="G98" s="2">
        <v>15.5</v>
      </c>
      <c r="H98" s="5">
        <v>585</v>
      </c>
      <c r="I98" s="5">
        <v>981</v>
      </c>
      <c r="J98" s="6">
        <v>1.676923076923077</v>
      </c>
      <c r="K98" s="5">
        <v>630</v>
      </c>
      <c r="L98" s="5">
        <v>576</v>
      </c>
      <c r="M98" s="6">
        <v>0.91428571428571426</v>
      </c>
      <c r="N98" s="5">
        <v>675</v>
      </c>
      <c r="O98" s="5">
        <v>858</v>
      </c>
      <c r="P98" s="6">
        <v>1.2711111111111111</v>
      </c>
      <c r="Q98" s="62">
        <f>N98</f>
        <v>675</v>
      </c>
      <c r="R98" s="83">
        <f t="shared" si="13"/>
        <v>892.32</v>
      </c>
      <c r="S98" s="63">
        <f>R98/Q98</f>
        <v>1.3219555555555556</v>
      </c>
      <c r="T98">
        <f>(R98-O98)/O98</f>
        <v>4.0000000000000056E-2</v>
      </c>
      <c r="U98">
        <f t="shared" si="14"/>
        <v>36</v>
      </c>
      <c r="V98">
        <f t="shared" si="15"/>
        <v>52.000000000000007</v>
      </c>
      <c r="W98">
        <f t="shared" si="16"/>
        <v>36.999999999999979</v>
      </c>
      <c r="X98">
        <f t="shared" si="17"/>
        <v>41.3</v>
      </c>
      <c r="Y98">
        <f t="shared" si="18"/>
        <v>5.0000000000000001E-3</v>
      </c>
      <c r="Z98">
        <f t="shared" si="19"/>
        <v>-0.99999999999997868</v>
      </c>
      <c r="AA98">
        <f t="shared" si="20"/>
        <v>0</v>
      </c>
      <c r="AB98">
        <f t="shared" si="21"/>
        <v>1.951388888888889E-2</v>
      </c>
      <c r="AC98">
        <f t="shared" si="22"/>
        <v>1.951388888888889E-2</v>
      </c>
      <c r="AD98">
        <f t="shared" si="23"/>
        <v>1.0595138888888889</v>
      </c>
      <c r="AE98">
        <f t="shared" si="24"/>
        <v>15.475000000000001</v>
      </c>
      <c r="AF98" s="80">
        <f t="shared" si="25"/>
        <v>16.399999999999999</v>
      </c>
    </row>
    <row r="99" spans="1:32" ht="30">
      <c r="A99" s="3">
        <v>98</v>
      </c>
      <c r="B99" s="1" t="s">
        <v>16</v>
      </c>
      <c r="C99" s="1" t="s">
        <v>113</v>
      </c>
      <c r="D99" s="2">
        <v>18</v>
      </c>
      <c r="E99" s="2">
        <v>18</v>
      </c>
      <c r="F99" s="2">
        <v>17.5</v>
      </c>
      <c r="G99" s="2">
        <v>19</v>
      </c>
      <c r="H99" s="5">
        <v>495</v>
      </c>
      <c r="I99" s="5">
        <v>1168</v>
      </c>
      <c r="J99" s="6">
        <v>2.3595959595959597</v>
      </c>
      <c r="K99" s="5">
        <v>585</v>
      </c>
      <c r="L99" s="5">
        <v>955</v>
      </c>
      <c r="M99" s="6">
        <v>1.6324786324786325</v>
      </c>
      <c r="N99" s="5">
        <v>675</v>
      </c>
      <c r="O99" s="5">
        <v>1328</v>
      </c>
      <c r="P99" s="6">
        <v>1.9674074074074075</v>
      </c>
      <c r="Q99" s="62">
        <f>N99</f>
        <v>675</v>
      </c>
      <c r="R99" s="83">
        <f t="shared" si="13"/>
        <v>1381.1200000000001</v>
      </c>
      <c r="S99" s="63">
        <f>R99/Q99</f>
        <v>2.0461037037037038</v>
      </c>
      <c r="T99">
        <f>(R99-O99)/O99</f>
        <v>4.0000000000000091E-2</v>
      </c>
      <c r="U99">
        <f t="shared" si="14"/>
        <v>24</v>
      </c>
      <c r="V99">
        <f t="shared" si="15"/>
        <v>32</v>
      </c>
      <c r="W99">
        <f t="shared" si="16"/>
        <v>22.999999999999989</v>
      </c>
      <c r="X99">
        <f t="shared" si="17"/>
        <v>25.899999999999995</v>
      </c>
      <c r="Y99">
        <f t="shared" si="18"/>
        <v>4.0000000000000001E-3</v>
      </c>
      <c r="Z99">
        <f t="shared" si="19"/>
        <v>1.0000000000000107</v>
      </c>
      <c r="AA99">
        <f t="shared" si="20"/>
        <v>0</v>
      </c>
      <c r="AB99">
        <f t="shared" si="21"/>
        <v>1.0258289703315885E-2</v>
      </c>
      <c r="AC99">
        <f t="shared" si="22"/>
        <v>1.0258289703315885E-2</v>
      </c>
      <c r="AD99">
        <f t="shared" si="23"/>
        <v>1.0502582897033159</v>
      </c>
      <c r="AE99">
        <f t="shared" si="24"/>
        <v>18.350000000000001</v>
      </c>
      <c r="AF99" s="80">
        <f t="shared" si="25"/>
        <v>19.27</v>
      </c>
    </row>
    <row r="100" spans="1:32" ht="30">
      <c r="A100" s="3">
        <v>99</v>
      </c>
      <c r="B100" s="1" t="s">
        <v>16</v>
      </c>
      <c r="C100" s="1" t="s">
        <v>114</v>
      </c>
      <c r="D100" s="2">
        <v>16.75</v>
      </c>
      <c r="E100" s="2">
        <v>16.75</v>
      </c>
      <c r="F100" s="2">
        <v>16.25</v>
      </c>
      <c r="G100" s="2">
        <v>17.5</v>
      </c>
      <c r="H100" s="5">
        <v>675</v>
      </c>
      <c r="I100" s="5">
        <v>1757</v>
      </c>
      <c r="J100" s="6">
        <v>2.6029629629629629</v>
      </c>
      <c r="K100" s="5">
        <v>675</v>
      </c>
      <c r="L100" s="5">
        <v>1423</v>
      </c>
      <c r="M100" s="6">
        <v>2.1081481481481483</v>
      </c>
      <c r="N100" s="5">
        <v>810</v>
      </c>
      <c r="O100" s="5">
        <v>1757</v>
      </c>
      <c r="P100" s="6">
        <v>2.1691358024691358</v>
      </c>
      <c r="Q100" s="62">
        <f>N100</f>
        <v>810</v>
      </c>
      <c r="R100" s="83">
        <f t="shared" si="13"/>
        <v>1827.28</v>
      </c>
      <c r="S100" s="63">
        <f>R100/Q100</f>
        <v>2.2559012345679013</v>
      </c>
      <c r="T100">
        <f>(R100-O100)/O100</f>
        <v>3.9999999999999987E-2</v>
      </c>
      <c r="U100">
        <f t="shared" si="14"/>
        <v>33.999999999999993</v>
      </c>
      <c r="V100">
        <f t="shared" si="15"/>
        <v>41</v>
      </c>
      <c r="W100">
        <f t="shared" si="16"/>
        <v>28.999999999999986</v>
      </c>
      <c r="X100">
        <f t="shared" si="17"/>
        <v>33.599999999999987</v>
      </c>
      <c r="Y100">
        <f t="shared" si="18"/>
        <v>5.0000000000000001E-3</v>
      </c>
      <c r="Z100">
        <f t="shared" si="19"/>
        <v>5.0000000000000071</v>
      </c>
      <c r="AA100">
        <f t="shared" si="20"/>
        <v>5.0000000000000001E-3</v>
      </c>
      <c r="AB100">
        <f t="shared" si="21"/>
        <v>1.4464745842117559E-3</v>
      </c>
      <c r="AC100">
        <f t="shared" si="22"/>
        <v>6.446474584211756E-3</v>
      </c>
      <c r="AD100">
        <f t="shared" si="23"/>
        <v>1.0464464745842117</v>
      </c>
      <c r="AE100">
        <f t="shared" si="24"/>
        <v>16.975000000000001</v>
      </c>
      <c r="AF100" s="80">
        <f t="shared" si="25"/>
        <v>17.760000000000002</v>
      </c>
    </row>
    <row r="101" spans="1:32" ht="30">
      <c r="A101" s="3">
        <v>100</v>
      </c>
      <c r="B101" s="1" t="s">
        <v>16</v>
      </c>
      <c r="C101" s="1" t="s">
        <v>115</v>
      </c>
      <c r="D101" s="2">
        <v>17.5</v>
      </c>
      <c r="E101" s="2">
        <v>17.5</v>
      </c>
      <c r="F101" s="2">
        <v>17</v>
      </c>
      <c r="G101" s="2">
        <v>17.25</v>
      </c>
      <c r="H101" s="5">
        <v>495</v>
      </c>
      <c r="I101" s="5">
        <v>1515</v>
      </c>
      <c r="J101" s="6">
        <v>3.0606060606060606</v>
      </c>
      <c r="K101" s="5">
        <v>540</v>
      </c>
      <c r="L101" s="5">
        <v>894</v>
      </c>
      <c r="M101" s="6">
        <v>1.6555555555555554</v>
      </c>
      <c r="N101" s="5">
        <v>855</v>
      </c>
      <c r="O101" s="5">
        <v>1286</v>
      </c>
      <c r="P101" s="6">
        <v>1.5040935672514619</v>
      </c>
      <c r="Q101" s="62">
        <f>N101</f>
        <v>855</v>
      </c>
      <c r="R101" s="83">
        <f t="shared" si="13"/>
        <v>1337.44</v>
      </c>
      <c r="S101" s="63">
        <f>R101/Q101</f>
        <v>1.5642573099415205</v>
      </c>
      <c r="T101">
        <f>(R101-O101)/O101</f>
        <v>4.0000000000000042E-2</v>
      </c>
      <c r="U101">
        <f t="shared" si="14"/>
        <v>26.999999999999996</v>
      </c>
      <c r="V101">
        <f t="shared" si="15"/>
        <v>36</v>
      </c>
      <c r="W101">
        <f t="shared" si="16"/>
        <v>29.999999999999982</v>
      </c>
      <c r="X101">
        <f t="shared" si="17"/>
        <v>31.199999999999989</v>
      </c>
      <c r="Y101">
        <f t="shared" si="18"/>
        <v>5.0000000000000001E-3</v>
      </c>
      <c r="Z101">
        <f t="shared" si="19"/>
        <v>-2.9999999999999858</v>
      </c>
      <c r="AA101">
        <f t="shared" si="20"/>
        <v>0</v>
      </c>
      <c r="AB101">
        <f t="shared" si="21"/>
        <v>-4.5743553514659124E-3</v>
      </c>
      <c r="AC101">
        <f t="shared" si="22"/>
        <v>-4.5743553514659124E-3</v>
      </c>
      <c r="AD101">
        <f t="shared" si="23"/>
        <v>1.0354256446485341</v>
      </c>
      <c r="AE101">
        <f t="shared" si="24"/>
        <v>17.225000000000001</v>
      </c>
      <c r="AF101" s="80">
        <f t="shared" si="25"/>
        <v>17.84</v>
      </c>
    </row>
    <row r="102" spans="1:32" ht="30">
      <c r="A102" s="3">
        <v>101</v>
      </c>
      <c r="B102" s="1" t="s">
        <v>16</v>
      </c>
      <c r="C102" s="1" t="s">
        <v>116</v>
      </c>
      <c r="D102" s="2">
        <v>12.25</v>
      </c>
      <c r="E102" s="2">
        <v>12.25</v>
      </c>
      <c r="F102" s="2">
        <v>12</v>
      </c>
      <c r="G102" s="2">
        <v>13.25</v>
      </c>
      <c r="H102" s="5">
        <v>495</v>
      </c>
      <c r="I102" s="5">
        <v>576</v>
      </c>
      <c r="J102" s="6">
        <v>1.1636363636363636</v>
      </c>
      <c r="K102" s="5">
        <v>360</v>
      </c>
      <c r="L102" s="5">
        <v>437</v>
      </c>
      <c r="M102" s="6">
        <v>1.2138888888888888</v>
      </c>
      <c r="N102" s="5">
        <v>450</v>
      </c>
      <c r="O102" s="5">
        <v>566</v>
      </c>
      <c r="P102" s="6">
        <v>1.2577777777777779</v>
      </c>
      <c r="Q102" s="62">
        <f>N102</f>
        <v>450</v>
      </c>
      <c r="R102" s="83">
        <f t="shared" si="13"/>
        <v>588.64</v>
      </c>
      <c r="S102" s="63">
        <f>R102/Q102</f>
        <v>1.3080888888888889</v>
      </c>
      <c r="T102">
        <f>(R102-O102)/O102</f>
        <v>3.9999999999999973E-2</v>
      </c>
      <c r="U102">
        <f t="shared" si="14"/>
        <v>67.000000000000028</v>
      </c>
      <c r="V102">
        <f t="shared" si="15"/>
        <v>68</v>
      </c>
      <c r="W102">
        <f t="shared" si="16"/>
        <v>45.000000000000021</v>
      </c>
      <c r="X102">
        <f t="shared" si="17"/>
        <v>56.300000000000011</v>
      </c>
      <c r="Y102">
        <f t="shared" si="18"/>
        <v>5.0000000000000001E-3</v>
      </c>
      <c r="Z102">
        <f t="shared" si="19"/>
        <v>22.000000000000007</v>
      </c>
      <c r="AA102">
        <f t="shared" si="20"/>
        <v>5.0000000000000001E-3</v>
      </c>
      <c r="AB102">
        <f t="shared" si="21"/>
        <v>1.8077803203661411E-3</v>
      </c>
      <c r="AC102">
        <f t="shared" si="22"/>
        <v>6.807780320366141E-3</v>
      </c>
      <c r="AD102">
        <f t="shared" si="23"/>
        <v>1.0468077803203661</v>
      </c>
      <c r="AE102">
        <f t="shared" si="24"/>
        <v>12.675000000000001</v>
      </c>
      <c r="AF102" s="80">
        <f t="shared" si="25"/>
        <v>13.27</v>
      </c>
    </row>
    <row r="103" spans="1:32" ht="30">
      <c r="A103" s="3">
        <v>102</v>
      </c>
      <c r="B103" s="1" t="s">
        <v>16</v>
      </c>
      <c r="C103" s="1" t="s">
        <v>117</v>
      </c>
      <c r="D103" s="2">
        <v>12.75</v>
      </c>
      <c r="E103" s="2">
        <v>12.75</v>
      </c>
      <c r="F103" s="2">
        <v>10.75</v>
      </c>
      <c r="G103" s="2">
        <v>11.75</v>
      </c>
      <c r="H103" s="5">
        <v>540</v>
      </c>
      <c r="I103" s="5">
        <v>397</v>
      </c>
      <c r="J103" s="6">
        <v>0.73518518518518516</v>
      </c>
      <c r="K103" s="5">
        <v>480</v>
      </c>
      <c r="L103" s="5">
        <v>310</v>
      </c>
      <c r="M103" s="6">
        <v>0.64583333333333337</v>
      </c>
      <c r="N103" s="5">
        <v>855</v>
      </c>
      <c r="O103" s="5">
        <v>421</v>
      </c>
      <c r="P103" s="6">
        <v>0.49239766081871345</v>
      </c>
      <c r="Q103" s="62">
        <f>N103</f>
        <v>855</v>
      </c>
      <c r="R103" s="83">
        <f t="shared" si="13"/>
        <v>437.84000000000003</v>
      </c>
      <c r="S103" s="63">
        <f>R103/Q103</f>
        <v>0.51209356725146205</v>
      </c>
      <c r="T103">
        <f>(R103-O103)/O103</f>
        <v>4.0000000000000077E-2</v>
      </c>
      <c r="U103">
        <f t="shared" si="14"/>
        <v>62.000000000000014</v>
      </c>
      <c r="V103">
        <f t="shared" si="15"/>
        <v>72.999999999999986</v>
      </c>
      <c r="W103">
        <f t="shared" si="16"/>
        <v>50.000000000000036</v>
      </c>
      <c r="X103">
        <f t="shared" si="17"/>
        <v>59.300000000000018</v>
      </c>
      <c r="Y103">
        <f t="shared" si="18"/>
        <v>5.0000000000000001E-3</v>
      </c>
      <c r="Z103">
        <f t="shared" si="19"/>
        <v>11.999999999999979</v>
      </c>
      <c r="AA103">
        <f t="shared" si="20"/>
        <v>5.0000000000000001E-3</v>
      </c>
      <c r="AB103">
        <f t="shared" si="21"/>
        <v>-1.1878890775325413E-2</v>
      </c>
      <c r="AC103">
        <f t="shared" si="22"/>
        <v>-6.8788907753254127E-3</v>
      </c>
      <c r="AD103">
        <f t="shared" si="23"/>
        <v>1.0331211092246746</v>
      </c>
      <c r="AE103">
        <f t="shared" si="24"/>
        <v>11.65</v>
      </c>
      <c r="AF103" s="80">
        <f t="shared" si="25"/>
        <v>12.04</v>
      </c>
    </row>
    <row r="104" spans="1:32" ht="30">
      <c r="A104" s="3">
        <v>103</v>
      </c>
      <c r="B104" s="1" t="s">
        <v>16</v>
      </c>
      <c r="C104" s="1" t="s">
        <v>118</v>
      </c>
      <c r="D104" s="2">
        <v>13</v>
      </c>
      <c r="E104" s="2">
        <v>13</v>
      </c>
      <c r="F104" s="2">
        <v>10.5</v>
      </c>
      <c r="G104" s="2">
        <v>13.25</v>
      </c>
      <c r="H104" s="5">
        <v>630</v>
      </c>
      <c r="I104" s="5">
        <v>462</v>
      </c>
      <c r="J104" s="6">
        <v>0.73333333333333328</v>
      </c>
      <c r="K104" s="5">
        <v>630</v>
      </c>
      <c r="L104" s="5">
        <v>350</v>
      </c>
      <c r="M104" s="6">
        <v>0.55555555555555558</v>
      </c>
      <c r="N104" s="5">
        <v>765</v>
      </c>
      <c r="O104" s="5">
        <v>392</v>
      </c>
      <c r="P104" s="6">
        <v>0.51241830065359473</v>
      </c>
      <c r="Q104" s="62">
        <f>N104</f>
        <v>765</v>
      </c>
      <c r="R104" s="83">
        <f t="shared" si="13"/>
        <v>407.68</v>
      </c>
      <c r="S104" s="63">
        <f>R104/Q104</f>
        <v>0.53291503267973861</v>
      </c>
      <c r="T104">
        <f>(R104-O104)/O104</f>
        <v>4.0000000000000015E-2</v>
      </c>
      <c r="U104">
        <f t="shared" si="14"/>
        <v>61.000000000000014</v>
      </c>
      <c r="V104">
        <f t="shared" si="15"/>
        <v>73.999999999999986</v>
      </c>
      <c r="W104">
        <f t="shared" si="16"/>
        <v>45.000000000000021</v>
      </c>
      <c r="X104">
        <f t="shared" si="17"/>
        <v>56.900000000000006</v>
      </c>
      <c r="Y104">
        <f t="shared" si="18"/>
        <v>5.0000000000000001E-3</v>
      </c>
      <c r="Z104">
        <f t="shared" si="19"/>
        <v>15.999999999999993</v>
      </c>
      <c r="AA104">
        <f t="shared" si="20"/>
        <v>5.0000000000000001E-3</v>
      </c>
      <c r="AB104">
        <f t="shared" si="21"/>
        <v>-3.8823529411764765E-3</v>
      </c>
      <c r="AC104">
        <f t="shared" si="22"/>
        <v>1.1176470588235236E-3</v>
      </c>
      <c r="AD104">
        <f t="shared" si="23"/>
        <v>1.0411176470588235</v>
      </c>
      <c r="AE104">
        <f t="shared" si="24"/>
        <v>12.375</v>
      </c>
      <c r="AF104" s="80">
        <f t="shared" si="25"/>
        <v>12.88</v>
      </c>
    </row>
    <row r="105" spans="1:32" ht="30">
      <c r="A105" s="3">
        <v>104</v>
      </c>
      <c r="B105" s="1" t="s">
        <v>16</v>
      </c>
      <c r="C105" s="1" t="s">
        <v>119</v>
      </c>
      <c r="D105" s="2">
        <v>21</v>
      </c>
      <c r="E105" s="2">
        <v>21</v>
      </c>
      <c r="F105" s="2">
        <v>21.75</v>
      </c>
      <c r="G105" s="2">
        <v>23.25</v>
      </c>
      <c r="H105" s="5">
        <v>1125</v>
      </c>
      <c r="I105" s="5">
        <v>1814</v>
      </c>
      <c r="J105" s="6">
        <v>1.6124444444444443</v>
      </c>
      <c r="K105" s="5">
        <v>900</v>
      </c>
      <c r="L105" s="5">
        <v>1457</v>
      </c>
      <c r="M105" s="6">
        <v>1.6188888888888888</v>
      </c>
      <c r="N105" s="5">
        <v>1035</v>
      </c>
      <c r="O105" s="5">
        <v>2146</v>
      </c>
      <c r="P105" s="6">
        <v>2.0734299516908212</v>
      </c>
      <c r="Q105" s="62">
        <f>N105</f>
        <v>1035</v>
      </c>
      <c r="R105" s="83">
        <f t="shared" si="13"/>
        <v>2231.84</v>
      </c>
      <c r="S105" s="63">
        <f>R105/Q105</f>
        <v>2.1563671497584544</v>
      </c>
      <c r="T105">
        <f>(R105-O105)/O105</f>
        <v>4.000000000000007E-2</v>
      </c>
      <c r="U105">
        <f t="shared" si="14"/>
        <v>9</v>
      </c>
      <c r="V105">
        <f t="shared" si="15"/>
        <v>9</v>
      </c>
      <c r="W105">
        <f t="shared" si="16"/>
        <v>6.9999999999999991</v>
      </c>
      <c r="X105">
        <f t="shared" si="17"/>
        <v>7.9999999999999991</v>
      </c>
      <c r="Y105">
        <f t="shared" si="18"/>
        <v>2E-3</v>
      </c>
      <c r="Z105">
        <f t="shared" si="19"/>
        <v>2.0000000000000009</v>
      </c>
      <c r="AA105">
        <f t="shared" si="20"/>
        <v>1E-3</v>
      </c>
      <c r="AB105">
        <f t="shared" si="21"/>
        <v>4.2116021604846178E-3</v>
      </c>
      <c r="AC105">
        <f t="shared" si="22"/>
        <v>5.2116021604846179E-3</v>
      </c>
      <c r="AD105">
        <f t="shared" si="23"/>
        <v>1.0452116021604847</v>
      </c>
      <c r="AE105">
        <f t="shared" si="24"/>
        <v>22.349999999999998</v>
      </c>
      <c r="AF105" s="80">
        <f t="shared" si="25"/>
        <v>23.36</v>
      </c>
    </row>
    <row r="106" spans="1:32" s="8" customFormat="1" ht="30">
      <c r="A106" s="3">
        <v>105</v>
      </c>
      <c r="B106" s="1" t="s">
        <v>16</v>
      </c>
      <c r="C106" s="1" t="s">
        <v>120</v>
      </c>
      <c r="D106" s="2">
        <v>19.5</v>
      </c>
      <c r="E106" s="2">
        <v>19.5</v>
      </c>
      <c r="F106" s="2">
        <v>18.5</v>
      </c>
      <c r="G106" s="2">
        <v>21.75</v>
      </c>
      <c r="H106" s="5">
        <v>675</v>
      </c>
      <c r="I106" s="5">
        <v>1140</v>
      </c>
      <c r="J106" s="6">
        <v>1.6888888888888889</v>
      </c>
      <c r="K106" s="5">
        <v>650</v>
      </c>
      <c r="L106" s="5">
        <v>680</v>
      </c>
      <c r="M106" s="6">
        <v>1.0461538461538462</v>
      </c>
      <c r="N106" s="5">
        <v>675</v>
      </c>
      <c r="O106" s="5">
        <v>1655</v>
      </c>
      <c r="P106" s="6">
        <v>2.4518518518518517</v>
      </c>
      <c r="Q106" s="62">
        <f>N106</f>
        <v>675</v>
      </c>
      <c r="R106" s="83">
        <f t="shared" si="13"/>
        <v>1721.2</v>
      </c>
      <c r="S106" s="63">
        <f>R106/Q106</f>
        <v>2.5499259259259262</v>
      </c>
      <c r="T106">
        <f>(R106-O106)/O106</f>
        <v>4.0000000000000029E-2</v>
      </c>
      <c r="U106">
        <f t="shared" si="14"/>
        <v>16</v>
      </c>
      <c r="V106">
        <f t="shared" si="15"/>
        <v>22</v>
      </c>
      <c r="W106">
        <f t="shared" si="16"/>
        <v>13.000000000000002</v>
      </c>
      <c r="X106">
        <f t="shared" si="17"/>
        <v>16.3</v>
      </c>
      <c r="Y106">
        <f t="shared" si="18"/>
        <v>3.0000000000000001E-3</v>
      </c>
      <c r="Z106">
        <f t="shared" si="19"/>
        <v>2.9999999999999982</v>
      </c>
      <c r="AA106">
        <f t="shared" si="20"/>
        <v>1.5E-3</v>
      </c>
      <c r="AB106">
        <f t="shared" si="21"/>
        <v>8.0620915032679721E-2</v>
      </c>
      <c r="AC106">
        <f t="shared" si="22"/>
        <v>8.2120915032679723E-2</v>
      </c>
      <c r="AD106">
        <f t="shared" si="23"/>
        <v>1.1221209150326799</v>
      </c>
      <c r="AE106">
        <f t="shared" si="24"/>
        <v>20.325000000000003</v>
      </c>
      <c r="AF106" s="80">
        <f t="shared" si="25"/>
        <v>22.81</v>
      </c>
    </row>
    <row r="107" spans="1:32" s="18" customFormat="1" ht="30">
      <c r="A107" s="3">
        <v>106</v>
      </c>
      <c r="B107" s="14" t="s">
        <v>16</v>
      </c>
      <c r="C107" s="14" t="s">
        <v>121</v>
      </c>
      <c r="D107" s="15">
        <f>G107</f>
        <v>16.25</v>
      </c>
      <c r="E107" s="15">
        <f>D107</f>
        <v>16.25</v>
      </c>
      <c r="F107" s="15">
        <f>E107</f>
        <v>16.25</v>
      </c>
      <c r="G107" s="15">
        <v>16.25</v>
      </c>
      <c r="H107" s="16">
        <f>N107</f>
        <v>675</v>
      </c>
      <c r="I107" s="16">
        <f>H107</f>
        <v>675</v>
      </c>
      <c r="J107" s="17">
        <f>I107/H107</f>
        <v>1</v>
      </c>
      <c r="K107" s="16">
        <f>H107</f>
        <v>675</v>
      </c>
      <c r="L107" s="16">
        <f>I107</f>
        <v>675</v>
      </c>
      <c r="M107" s="17">
        <f>L107/K107</f>
        <v>1</v>
      </c>
      <c r="N107" s="16">
        <v>675</v>
      </c>
      <c r="O107" s="16">
        <f>N107</f>
        <v>675</v>
      </c>
      <c r="P107" s="17">
        <f>O107/N107</f>
        <v>1</v>
      </c>
      <c r="Q107" s="62">
        <f>N107</f>
        <v>675</v>
      </c>
      <c r="R107" s="83">
        <f t="shared" si="13"/>
        <v>702</v>
      </c>
      <c r="S107" s="63">
        <f>R107/Q107</f>
        <v>1.04</v>
      </c>
      <c r="T107">
        <f>(R107-O107)/O107</f>
        <v>0.04</v>
      </c>
      <c r="U107">
        <f t="shared" si="14"/>
        <v>37</v>
      </c>
      <c r="V107">
        <f t="shared" si="15"/>
        <v>41</v>
      </c>
      <c r="W107">
        <f t="shared" si="16"/>
        <v>33.999999999999979</v>
      </c>
      <c r="X107">
        <f t="shared" si="17"/>
        <v>36.699999999999989</v>
      </c>
      <c r="Y107">
        <f t="shared" si="18"/>
        <v>5.0000000000000001E-3</v>
      </c>
      <c r="Z107">
        <f t="shared" si="19"/>
        <v>3.0000000000000213</v>
      </c>
      <c r="AA107">
        <f t="shared" si="20"/>
        <v>2.5000000000000001E-3</v>
      </c>
      <c r="AB107">
        <f t="shared" si="21"/>
        <v>0</v>
      </c>
      <c r="AC107">
        <f t="shared" si="22"/>
        <v>2.5000000000000001E-3</v>
      </c>
      <c r="AD107">
        <f t="shared" si="23"/>
        <v>1.0425</v>
      </c>
      <c r="AE107">
        <f t="shared" si="24"/>
        <v>16.25</v>
      </c>
      <c r="AF107" s="80">
        <f t="shared" si="25"/>
        <v>16.940000000000001</v>
      </c>
    </row>
    <row r="108" spans="1:32" ht="30">
      <c r="A108" s="3">
        <v>107</v>
      </c>
      <c r="B108" s="1" t="s">
        <v>16</v>
      </c>
      <c r="C108" s="1" t="s">
        <v>122</v>
      </c>
      <c r="D108" s="2">
        <v>16.5</v>
      </c>
      <c r="E108" s="2">
        <v>16.5</v>
      </c>
      <c r="F108" s="2">
        <v>16.75</v>
      </c>
      <c r="G108" s="2">
        <v>19</v>
      </c>
      <c r="H108" s="5">
        <v>765</v>
      </c>
      <c r="I108" s="5">
        <v>1183</v>
      </c>
      <c r="J108" s="6">
        <v>1.54640522875817</v>
      </c>
      <c r="K108" s="5">
        <v>540</v>
      </c>
      <c r="L108" s="5">
        <v>1150</v>
      </c>
      <c r="M108" s="6">
        <v>2.1296296296296298</v>
      </c>
      <c r="N108" s="5">
        <v>720</v>
      </c>
      <c r="O108" s="5">
        <v>1558</v>
      </c>
      <c r="P108" s="6">
        <v>2.1638888888888888</v>
      </c>
      <c r="Q108" s="62">
        <f>N108</f>
        <v>720</v>
      </c>
      <c r="R108" s="83">
        <f t="shared" si="13"/>
        <v>1620.3200000000002</v>
      </c>
      <c r="S108" s="63">
        <f>R108/Q108</f>
        <v>2.2504444444444447</v>
      </c>
      <c r="T108">
        <f>(R108-O108)/O108</f>
        <v>4.0000000000000105E-2</v>
      </c>
      <c r="U108">
        <f t="shared" si="14"/>
        <v>36</v>
      </c>
      <c r="V108">
        <f t="shared" si="15"/>
        <v>38</v>
      </c>
      <c r="W108">
        <f t="shared" si="16"/>
        <v>22.999999999999989</v>
      </c>
      <c r="X108">
        <f t="shared" si="17"/>
        <v>30.099999999999994</v>
      </c>
      <c r="Y108">
        <f t="shared" si="18"/>
        <v>5.0000000000000001E-3</v>
      </c>
      <c r="Z108">
        <f t="shared" si="19"/>
        <v>13.000000000000011</v>
      </c>
      <c r="AA108">
        <f t="shared" si="20"/>
        <v>5.0000000000000001E-3</v>
      </c>
      <c r="AB108">
        <f t="shared" si="21"/>
        <v>8.0434782608695011E-4</v>
      </c>
      <c r="AC108">
        <f t="shared" si="22"/>
        <v>5.8043478260869502E-3</v>
      </c>
      <c r="AD108">
        <f t="shared" si="23"/>
        <v>1.045804347826087</v>
      </c>
      <c r="AE108">
        <f t="shared" si="24"/>
        <v>17.824999999999999</v>
      </c>
      <c r="AF108" s="80">
        <f t="shared" si="25"/>
        <v>18.64</v>
      </c>
    </row>
    <row r="109" spans="1:32" ht="30">
      <c r="A109" s="3">
        <v>108</v>
      </c>
      <c r="B109" s="1" t="s">
        <v>16</v>
      </c>
      <c r="C109" s="1" t="s">
        <v>123</v>
      </c>
      <c r="D109" s="2">
        <v>18</v>
      </c>
      <c r="E109" s="2">
        <v>18</v>
      </c>
      <c r="F109" s="2">
        <v>18.25</v>
      </c>
      <c r="G109" s="2">
        <v>21</v>
      </c>
      <c r="H109" s="5">
        <v>720</v>
      </c>
      <c r="I109" s="5">
        <v>1153</v>
      </c>
      <c r="J109" s="6">
        <v>1.601388888888889</v>
      </c>
      <c r="K109" s="5">
        <v>630</v>
      </c>
      <c r="L109" s="5">
        <v>970</v>
      </c>
      <c r="M109" s="6">
        <v>1.5396825396825398</v>
      </c>
      <c r="N109" s="5">
        <v>630</v>
      </c>
      <c r="O109" s="5">
        <v>1252</v>
      </c>
      <c r="P109" s="6">
        <v>1.9873015873015873</v>
      </c>
      <c r="Q109" s="62">
        <f>N109</f>
        <v>630</v>
      </c>
      <c r="R109" s="83">
        <f t="shared" si="13"/>
        <v>1302.0800000000002</v>
      </c>
      <c r="S109" s="63">
        <f>R109/Q109</f>
        <v>2.0667936507936511</v>
      </c>
      <c r="T109">
        <f>(R109-O109)/O109</f>
        <v>4.0000000000000126E-2</v>
      </c>
      <c r="U109">
        <f t="shared" si="14"/>
        <v>24</v>
      </c>
      <c r="V109">
        <f t="shared" si="15"/>
        <v>23</v>
      </c>
      <c r="W109">
        <f t="shared" si="16"/>
        <v>16.000000000000004</v>
      </c>
      <c r="X109">
        <f t="shared" si="17"/>
        <v>19.700000000000003</v>
      </c>
      <c r="Y109">
        <f t="shared" si="18"/>
        <v>3.0000000000000001E-3</v>
      </c>
      <c r="Z109">
        <f t="shared" si="19"/>
        <v>7.9999999999999964</v>
      </c>
      <c r="AA109">
        <f t="shared" si="20"/>
        <v>3.0000000000000001E-3</v>
      </c>
      <c r="AB109">
        <f t="shared" si="21"/>
        <v>1.7443298969072162E-2</v>
      </c>
      <c r="AC109">
        <f t="shared" si="22"/>
        <v>2.0443298969072161E-2</v>
      </c>
      <c r="AD109">
        <f t="shared" si="23"/>
        <v>1.0604432989690722</v>
      </c>
      <c r="AE109">
        <f t="shared" si="24"/>
        <v>19.574999999999999</v>
      </c>
      <c r="AF109" s="80">
        <f t="shared" si="25"/>
        <v>20.76</v>
      </c>
    </row>
    <row r="110" spans="1:32" ht="30">
      <c r="A110" s="3">
        <v>109</v>
      </c>
      <c r="B110" s="1" t="s">
        <v>16</v>
      </c>
      <c r="C110" s="1" t="s">
        <v>124</v>
      </c>
      <c r="D110" s="2">
        <v>18.5</v>
      </c>
      <c r="E110" s="2">
        <v>18.5</v>
      </c>
      <c r="F110" s="2">
        <v>17.75</v>
      </c>
      <c r="G110" s="2">
        <v>19.75</v>
      </c>
      <c r="H110" s="5">
        <v>675</v>
      </c>
      <c r="I110" s="5">
        <v>1576</v>
      </c>
      <c r="J110" s="6">
        <v>2.3348148148148149</v>
      </c>
      <c r="K110" s="5">
        <v>720</v>
      </c>
      <c r="L110" s="5">
        <v>1006</v>
      </c>
      <c r="M110" s="6">
        <v>1.3972222222222221</v>
      </c>
      <c r="N110" s="5">
        <v>855</v>
      </c>
      <c r="O110" s="5">
        <v>1464</v>
      </c>
      <c r="P110" s="6">
        <v>1.712280701754386</v>
      </c>
      <c r="Q110" s="62">
        <f>N110</f>
        <v>855</v>
      </c>
      <c r="R110" s="83">
        <f t="shared" si="13"/>
        <v>1522.56</v>
      </c>
      <c r="S110" s="63">
        <f>R110/Q110</f>
        <v>1.7807719298245615</v>
      </c>
      <c r="T110">
        <f>(R110-O110)/O110</f>
        <v>3.9999999999999966E-2</v>
      </c>
      <c r="U110">
        <f t="shared" si="14"/>
        <v>20</v>
      </c>
      <c r="V110">
        <f t="shared" si="15"/>
        <v>28</v>
      </c>
      <c r="W110">
        <f t="shared" si="16"/>
        <v>20.999999999999993</v>
      </c>
      <c r="X110">
        <f t="shared" si="17"/>
        <v>22.9</v>
      </c>
      <c r="Y110">
        <f t="shared" si="18"/>
        <v>4.0000000000000001E-3</v>
      </c>
      <c r="Z110">
        <f t="shared" si="19"/>
        <v>-0.99999999999999289</v>
      </c>
      <c r="AA110">
        <f t="shared" si="20"/>
        <v>0</v>
      </c>
      <c r="AB110">
        <f t="shared" si="21"/>
        <v>1.1274458512085387E-2</v>
      </c>
      <c r="AC110">
        <f t="shared" si="22"/>
        <v>1.1274458512085387E-2</v>
      </c>
      <c r="AD110">
        <f t="shared" si="23"/>
        <v>1.0512744585120855</v>
      </c>
      <c r="AE110">
        <f t="shared" si="24"/>
        <v>18.899999999999999</v>
      </c>
      <c r="AF110" s="80">
        <f t="shared" si="25"/>
        <v>19.87</v>
      </c>
    </row>
    <row r="111" spans="1:32" ht="30">
      <c r="A111" s="3">
        <v>110</v>
      </c>
      <c r="B111" s="1" t="s">
        <v>16</v>
      </c>
      <c r="C111" s="1" t="s">
        <v>125</v>
      </c>
      <c r="D111" s="2">
        <v>15</v>
      </c>
      <c r="E111" s="2">
        <v>15</v>
      </c>
      <c r="F111" s="2">
        <v>14.25</v>
      </c>
      <c r="G111" s="2">
        <v>16</v>
      </c>
      <c r="H111" s="5">
        <v>810</v>
      </c>
      <c r="I111" s="5">
        <v>830</v>
      </c>
      <c r="J111" s="6">
        <v>1.0246913580246915</v>
      </c>
      <c r="K111" s="5">
        <v>720</v>
      </c>
      <c r="L111" s="5">
        <v>680</v>
      </c>
      <c r="M111" s="6">
        <v>0.94444444444444442</v>
      </c>
      <c r="N111" s="5">
        <v>855</v>
      </c>
      <c r="O111" s="5">
        <v>733</v>
      </c>
      <c r="P111" s="6">
        <v>0.8573099415204678</v>
      </c>
      <c r="Q111" s="62">
        <f>N111</f>
        <v>855</v>
      </c>
      <c r="R111" s="83">
        <f t="shared" si="13"/>
        <v>762.32</v>
      </c>
      <c r="S111" s="63">
        <f>R111/Q111</f>
        <v>0.89160233918128662</v>
      </c>
      <c r="T111">
        <f>(R111-O111)/O111</f>
        <v>4.000000000000007E-2</v>
      </c>
      <c r="U111">
        <f t="shared" si="14"/>
        <v>46.000000000000007</v>
      </c>
      <c r="V111">
        <f t="shared" si="15"/>
        <v>55.000000000000007</v>
      </c>
      <c r="W111">
        <f t="shared" si="16"/>
        <v>34.999999999999972</v>
      </c>
      <c r="X111">
        <f t="shared" si="17"/>
        <v>43.199999999999989</v>
      </c>
      <c r="Y111">
        <f t="shared" si="18"/>
        <v>5.0000000000000001E-3</v>
      </c>
      <c r="Z111">
        <f t="shared" si="19"/>
        <v>11.000000000000036</v>
      </c>
      <c r="AA111">
        <f t="shared" si="20"/>
        <v>5.0000000000000001E-3</v>
      </c>
      <c r="AB111">
        <f t="shared" si="21"/>
        <v>-4.613003095975233E-3</v>
      </c>
      <c r="AC111">
        <f t="shared" si="22"/>
        <v>3.8699690402476707E-4</v>
      </c>
      <c r="AD111">
        <f t="shared" si="23"/>
        <v>1.0403869969040247</v>
      </c>
      <c r="AE111">
        <f t="shared" si="24"/>
        <v>15.274999999999999</v>
      </c>
      <c r="AF111" s="80">
        <f t="shared" si="25"/>
        <v>15.89</v>
      </c>
    </row>
    <row r="112" spans="1:32" s="47" customFormat="1" ht="45">
      <c r="A112" s="3">
        <v>111</v>
      </c>
      <c r="B112" s="43" t="s">
        <v>16</v>
      </c>
      <c r="C112" s="43" t="s">
        <v>172</v>
      </c>
      <c r="D112" s="44">
        <f>F112</f>
        <v>13</v>
      </c>
      <c r="E112" s="44">
        <f>D112</f>
        <v>13</v>
      </c>
      <c r="F112" s="44">
        <v>13</v>
      </c>
      <c r="G112" s="44">
        <v>15.5</v>
      </c>
      <c r="H112" s="45">
        <f>K112</f>
        <v>540</v>
      </c>
      <c r="I112" s="45">
        <f>H112</f>
        <v>540</v>
      </c>
      <c r="J112" s="46">
        <f>I112/H112</f>
        <v>1</v>
      </c>
      <c r="K112" s="45">
        <v>540</v>
      </c>
      <c r="L112" s="45">
        <v>332</v>
      </c>
      <c r="M112" s="46">
        <f>L112/K112</f>
        <v>0.61481481481481481</v>
      </c>
      <c r="N112" s="45">
        <v>810</v>
      </c>
      <c r="O112" s="45">
        <v>943</v>
      </c>
      <c r="P112" s="46">
        <v>1.1641975308641976</v>
      </c>
      <c r="Q112" s="62">
        <f>N112</f>
        <v>810</v>
      </c>
      <c r="R112" s="83">
        <f t="shared" si="13"/>
        <v>980.72</v>
      </c>
      <c r="S112" s="63">
        <f>R112/Q112</f>
        <v>1.2107654320987655</v>
      </c>
      <c r="T112">
        <f>(R112-O112)/O112</f>
        <v>4.0000000000000029E-2</v>
      </c>
      <c r="U112">
        <f t="shared" si="14"/>
        <v>61.000000000000014</v>
      </c>
      <c r="V112">
        <f t="shared" si="15"/>
        <v>63</v>
      </c>
      <c r="W112">
        <f t="shared" si="16"/>
        <v>36.999999999999979</v>
      </c>
      <c r="X112">
        <f t="shared" si="17"/>
        <v>49.599999999999994</v>
      </c>
      <c r="Y112">
        <f t="shared" si="18"/>
        <v>5.0000000000000001E-3</v>
      </c>
      <c r="Z112">
        <f t="shared" si="19"/>
        <v>24.000000000000036</v>
      </c>
      <c r="AA112">
        <f t="shared" si="20"/>
        <v>5.0000000000000001E-3</v>
      </c>
      <c r="AB112">
        <f t="shared" si="21"/>
        <v>4.4678714859437765E-2</v>
      </c>
      <c r="AC112">
        <f t="shared" si="22"/>
        <v>4.9678714859437763E-2</v>
      </c>
      <c r="AD112">
        <f t="shared" si="23"/>
        <v>1.0896787148594378</v>
      </c>
      <c r="AE112">
        <f t="shared" si="24"/>
        <v>14.25</v>
      </c>
      <c r="AF112" s="80">
        <f t="shared" si="25"/>
        <v>15.53</v>
      </c>
    </row>
    <row r="113" spans="1:32" ht="30">
      <c r="A113" s="3">
        <v>112</v>
      </c>
      <c r="B113" s="1" t="s">
        <v>16</v>
      </c>
      <c r="C113" s="1" t="s">
        <v>126</v>
      </c>
      <c r="D113" s="2">
        <v>15.25</v>
      </c>
      <c r="E113" s="2">
        <v>15.25</v>
      </c>
      <c r="F113" s="2">
        <v>15.25</v>
      </c>
      <c r="G113" s="2">
        <v>17.25</v>
      </c>
      <c r="H113" s="5">
        <v>810</v>
      </c>
      <c r="I113" s="5">
        <v>944</v>
      </c>
      <c r="J113" s="6">
        <v>1.1654320987654321</v>
      </c>
      <c r="K113" s="5">
        <v>675</v>
      </c>
      <c r="L113" s="5">
        <v>836</v>
      </c>
      <c r="M113" s="6">
        <v>1.2385185185185186</v>
      </c>
      <c r="N113" s="5">
        <v>855</v>
      </c>
      <c r="O113" s="5">
        <v>937</v>
      </c>
      <c r="P113" s="6">
        <v>1.0959064327485379</v>
      </c>
      <c r="Q113" s="62">
        <f>N113</f>
        <v>855</v>
      </c>
      <c r="R113" s="83">
        <f t="shared" si="13"/>
        <v>974.48</v>
      </c>
      <c r="S113" s="63">
        <f>R113/Q113</f>
        <v>1.1397426900584795</v>
      </c>
      <c r="T113">
        <f>(R113-O113)/O113</f>
        <v>4.0000000000000022E-2</v>
      </c>
      <c r="U113">
        <f t="shared" si="14"/>
        <v>44.000000000000007</v>
      </c>
      <c r="V113">
        <f t="shared" si="15"/>
        <v>48.000000000000007</v>
      </c>
      <c r="W113">
        <f t="shared" si="16"/>
        <v>29.999999999999982</v>
      </c>
      <c r="X113">
        <f t="shared" si="17"/>
        <v>38.199999999999996</v>
      </c>
      <c r="Y113">
        <f t="shared" si="18"/>
        <v>5.0000000000000001E-3</v>
      </c>
      <c r="Z113">
        <f t="shared" si="19"/>
        <v>14.000000000000025</v>
      </c>
      <c r="AA113">
        <f t="shared" si="20"/>
        <v>5.0000000000000001E-3</v>
      </c>
      <c r="AB113">
        <f t="shared" si="21"/>
        <v>-5.7573659027952712E-3</v>
      </c>
      <c r="AC113">
        <f t="shared" si="22"/>
        <v>-7.5736590279527113E-4</v>
      </c>
      <c r="AD113">
        <f t="shared" si="23"/>
        <v>1.0392426340972047</v>
      </c>
      <c r="AE113">
        <f t="shared" si="24"/>
        <v>16.25</v>
      </c>
      <c r="AF113" s="80">
        <f t="shared" si="25"/>
        <v>16.89</v>
      </c>
    </row>
    <row r="114" spans="1:32" ht="45">
      <c r="A114" s="3">
        <v>113</v>
      </c>
      <c r="B114" s="1" t="s">
        <v>127</v>
      </c>
      <c r="C114" s="1" t="s">
        <v>128</v>
      </c>
      <c r="D114" s="2">
        <v>17.05</v>
      </c>
      <c r="E114" s="2">
        <v>17.05</v>
      </c>
      <c r="F114" s="2">
        <v>17.55</v>
      </c>
      <c r="G114" s="2">
        <v>17.25</v>
      </c>
      <c r="H114" s="19">
        <v>630</v>
      </c>
      <c r="I114" s="19">
        <v>976</v>
      </c>
      <c r="J114" s="28">
        <f>P114</f>
        <v>1.5493827160493827</v>
      </c>
      <c r="K114" s="19">
        <v>645</v>
      </c>
      <c r="L114" s="5">
        <f>M114*K114</f>
        <v>999.35185185185185</v>
      </c>
      <c r="M114" s="6">
        <f>P114</f>
        <v>1.5493827160493827</v>
      </c>
      <c r="N114" s="5">
        <v>810</v>
      </c>
      <c r="O114" s="5">
        <v>1255</v>
      </c>
      <c r="P114" s="6">
        <v>1.5493827160493827</v>
      </c>
      <c r="Q114" s="62">
        <f>N114</f>
        <v>810</v>
      </c>
      <c r="R114" s="83">
        <f t="shared" si="13"/>
        <v>1305.2</v>
      </c>
      <c r="S114" s="63">
        <f>R114/Q114</f>
        <v>1.6113580246913581</v>
      </c>
      <c r="T114">
        <f>(R114-O114)/O114</f>
        <v>4.0000000000000036E-2</v>
      </c>
      <c r="U114">
        <f t="shared" si="14"/>
        <v>30.999999999999996</v>
      </c>
      <c r="V114">
        <f t="shared" si="15"/>
        <v>31</v>
      </c>
      <c r="W114">
        <f t="shared" si="16"/>
        <v>29.999999999999982</v>
      </c>
      <c r="X114">
        <f t="shared" si="17"/>
        <v>30.499999999999989</v>
      </c>
      <c r="Y114">
        <f t="shared" si="18"/>
        <v>5.0000000000000001E-3</v>
      </c>
      <c r="Z114">
        <f t="shared" si="19"/>
        <v>1.0000000000000142</v>
      </c>
      <c r="AA114">
        <f t="shared" si="20"/>
        <v>0</v>
      </c>
      <c r="AB114" s="59">
        <f t="shared" si="21"/>
        <v>0</v>
      </c>
      <c r="AC114">
        <f t="shared" si="22"/>
        <v>0</v>
      </c>
      <c r="AD114">
        <f t="shared" si="23"/>
        <v>1.04</v>
      </c>
      <c r="AE114">
        <f t="shared" si="24"/>
        <v>17.3</v>
      </c>
      <c r="AF114" s="80">
        <f t="shared" si="25"/>
        <v>17.989999999999998</v>
      </c>
    </row>
    <row r="115" spans="1:32" s="8" customFormat="1" ht="45">
      <c r="A115" s="3">
        <v>114</v>
      </c>
      <c r="B115" s="48" t="s">
        <v>127</v>
      </c>
      <c r="C115" s="48" t="s">
        <v>129</v>
      </c>
      <c r="D115" s="49">
        <v>14.75</v>
      </c>
      <c r="E115" s="49">
        <v>14.75</v>
      </c>
      <c r="F115" s="49">
        <v>14.65</v>
      </c>
      <c r="G115" s="49">
        <v>13.25</v>
      </c>
      <c r="H115" s="24">
        <v>210</v>
      </c>
      <c r="I115" s="24">
        <v>277</v>
      </c>
      <c r="J115" s="50">
        <f>P115</f>
        <v>1.3174603174603174</v>
      </c>
      <c r="K115" s="24">
        <v>290</v>
      </c>
      <c r="L115" s="51">
        <f>M115*K115</f>
        <v>382.06349206349205</v>
      </c>
      <c r="M115" s="52">
        <f>P115</f>
        <v>1.3174603174603174</v>
      </c>
      <c r="N115" s="51">
        <v>315</v>
      </c>
      <c r="O115" s="51">
        <v>415</v>
      </c>
      <c r="P115" s="52">
        <v>1.3174603174603174</v>
      </c>
      <c r="Q115" s="62">
        <f>N115</f>
        <v>315</v>
      </c>
      <c r="R115" s="83">
        <f t="shared" si="13"/>
        <v>431.6</v>
      </c>
      <c r="S115" s="63">
        <f>R115/Q115</f>
        <v>1.3701587301587301</v>
      </c>
      <c r="T115">
        <f>(R115-O115)/O115</f>
        <v>4.0000000000000056E-2</v>
      </c>
      <c r="U115">
        <f t="shared" si="14"/>
        <v>48.000000000000007</v>
      </c>
      <c r="V115">
        <f t="shared" si="15"/>
        <v>54.000000000000007</v>
      </c>
      <c r="W115">
        <f t="shared" si="16"/>
        <v>45.000000000000021</v>
      </c>
      <c r="X115">
        <f t="shared" si="17"/>
        <v>48.300000000000018</v>
      </c>
      <c r="Y115">
        <f t="shared" si="18"/>
        <v>5.0000000000000001E-3</v>
      </c>
      <c r="Z115">
        <f t="shared" si="19"/>
        <v>2.9999999999999858</v>
      </c>
      <c r="AA115">
        <f t="shared" si="20"/>
        <v>2.5000000000000001E-3</v>
      </c>
      <c r="AB115">
        <f t="shared" si="21"/>
        <v>0</v>
      </c>
      <c r="AC115">
        <f t="shared" si="22"/>
        <v>2.5000000000000001E-3</v>
      </c>
      <c r="AD115">
        <f t="shared" si="23"/>
        <v>1.0425</v>
      </c>
      <c r="AE115">
        <f t="shared" si="24"/>
        <v>13.969999999999999</v>
      </c>
      <c r="AF115" s="80">
        <f t="shared" si="25"/>
        <v>14.56</v>
      </c>
    </row>
    <row r="116" spans="1:32" s="8" customFormat="1" ht="45">
      <c r="A116" s="3">
        <v>115</v>
      </c>
      <c r="B116" s="48" t="s">
        <v>127</v>
      </c>
      <c r="C116" s="48" t="s">
        <v>80</v>
      </c>
      <c r="D116" s="49">
        <v>10.25</v>
      </c>
      <c r="E116" s="49">
        <v>10.25</v>
      </c>
      <c r="F116" s="49">
        <v>15.8</v>
      </c>
      <c r="G116" s="49">
        <v>13.5</v>
      </c>
      <c r="H116" s="24">
        <v>360</v>
      </c>
      <c r="I116" s="24">
        <f>J116*H116</f>
        <v>440.00000000000006</v>
      </c>
      <c r="J116" s="50">
        <f>P116</f>
        <v>1.2222222222222223</v>
      </c>
      <c r="K116" s="24">
        <v>270</v>
      </c>
      <c r="L116" s="51">
        <f>M116*K116</f>
        <v>330</v>
      </c>
      <c r="M116" s="52">
        <f>P116</f>
        <v>1.2222222222222223</v>
      </c>
      <c r="N116" s="51">
        <v>450</v>
      </c>
      <c r="O116" s="51">
        <v>550</v>
      </c>
      <c r="P116" s="52">
        <v>1.2222222222222223</v>
      </c>
      <c r="Q116" s="62">
        <f>N116</f>
        <v>450</v>
      </c>
      <c r="R116" s="83">
        <f t="shared" si="13"/>
        <v>572</v>
      </c>
      <c r="S116" s="63">
        <f>R116/Q116</f>
        <v>1.2711111111111111</v>
      </c>
      <c r="T116">
        <f>(R116-O116)/O116</f>
        <v>0.04</v>
      </c>
      <c r="U116">
        <f t="shared" si="14"/>
        <v>80</v>
      </c>
      <c r="V116">
        <f t="shared" si="15"/>
        <v>44.000000000000007</v>
      </c>
      <c r="W116">
        <f t="shared" si="16"/>
        <v>44.000000000000014</v>
      </c>
      <c r="X116">
        <f t="shared" si="17"/>
        <v>51.20000000000001</v>
      </c>
      <c r="Y116">
        <f t="shared" si="18"/>
        <v>5.0000000000000001E-3</v>
      </c>
      <c r="Z116">
        <f t="shared" si="19"/>
        <v>35.999999999999986</v>
      </c>
      <c r="AA116">
        <f t="shared" si="20"/>
        <v>5.0000000000000001E-3</v>
      </c>
      <c r="AB116">
        <f t="shared" si="21"/>
        <v>0</v>
      </c>
      <c r="AC116">
        <f t="shared" si="22"/>
        <v>5.0000000000000001E-3</v>
      </c>
      <c r="AD116">
        <f t="shared" si="23"/>
        <v>1.0449999999999999</v>
      </c>
      <c r="AE116">
        <f t="shared" si="24"/>
        <v>13.540000000000001</v>
      </c>
      <c r="AF116" s="80">
        <f t="shared" si="25"/>
        <v>14.15</v>
      </c>
    </row>
    <row r="117" spans="1:32" s="8" customFormat="1" ht="45">
      <c r="A117" s="3">
        <v>116</v>
      </c>
      <c r="B117" s="48" t="s">
        <v>127</v>
      </c>
      <c r="C117" s="48" t="s">
        <v>130</v>
      </c>
      <c r="D117" s="49">
        <v>23.3</v>
      </c>
      <c r="E117" s="49">
        <v>23.3</v>
      </c>
      <c r="F117" s="49">
        <v>22.1</v>
      </c>
      <c r="G117" s="49">
        <v>23.25</v>
      </c>
      <c r="H117" s="24">
        <v>520</v>
      </c>
      <c r="I117" s="24">
        <v>1219</v>
      </c>
      <c r="J117" s="50">
        <f>P117</f>
        <v>2.3444444444444446</v>
      </c>
      <c r="K117" s="24">
        <v>480</v>
      </c>
      <c r="L117" s="51">
        <f>M117*K117</f>
        <v>1125.3333333333335</v>
      </c>
      <c r="M117" s="52">
        <f>P117</f>
        <v>2.3444444444444446</v>
      </c>
      <c r="N117" s="51">
        <v>540</v>
      </c>
      <c r="O117" s="51">
        <v>1266</v>
      </c>
      <c r="P117" s="52">
        <v>2.3444444444444446</v>
      </c>
      <c r="Q117" s="62">
        <f>N117</f>
        <v>540</v>
      </c>
      <c r="R117" s="83">
        <f t="shared" si="13"/>
        <v>1316.64</v>
      </c>
      <c r="S117" s="63">
        <f>R117/Q117</f>
        <v>2.4382222222222225</v>
      </c>
      <c r="T117">
        <f>(R117-O117)/O117</f>
        <v>4.0000000000000077E-2</v>
      </c>
      <c r="U117">
        <f t="shared" si="14"/>
        <v>3</v>
      </c>
      <c r="V117">
        <f t="shared" si="15"/>
        <v>8</v>
      </c>
      <c r="W117">
        <f t="shared" si="16"/>
        <v>6.9999999999999991</v>
      </c>
      <c r="X117">
        <f t="shared" si="17"/>
        <v>6.5</v>
      </c>
      <c r="Y117">
        <f t="shared" si="18"/>
        <v>2E-3</v>
      </c>
      <c r="Z117">
        <f t="shared" si="19"/>
        <v>-3.9999999999999991</v>
      </c>
      <c r="AA117">
        <f t="shared" si="20"/>
        <v>0</v>
      </c>
      <c r="AB117">
        <f t="shared" si="21"/>
        <v>0</v>
      </c>
      <c r="AC117">
        <f t="shared" si="22"/>
        <v>0</v>
      </c>
      <c r="AD117">
        <f t="shared" si="23"/>
        <v>1.04</v>
      </c>
      <c r="AE117">
        <f t="shared" si="24"/>
        <v>22.914999999999999</v>
      </c>
      <c r="AF117" s="80">
        <f t="shared" si="25"/>
        <v>23.83</v>
      </c>
    </row>
    <row r="118" spans="1:32" s="8" customFormat="1" ht="45">
      <c r="A118" s="3">
        <v>117</v>
      </c>
      <c r="B118" s="48" t="s">
        <v>127</v>
      </c>
      <c r="C118" s="48" t="s">
        <v>131</v>
      </c>
      <c r="D118" s="49">
        <v>18.100000000000001</v>
      </c>
      <c r="E118" s="49">
        <v>18.100000000000001</v>
      </c>
      <c r="F118" s="49">
        <v>17.899999999999999</v>
      </c>
      <c r="G118" s="49">
        <v>20</v>
      </c>
      <c r="H118" s="24">
        <v>600</v>
      </c>
      <c r="I118" s="24">
        <v>1078</v>
      </c>
      <c r="J118" s="50">
        <f>P118</f>
        <v>1.7975308641975309</v>
      </c>
      <c r="K118" s="24">
        <v>625</v>
      </c>
      <c r="L118" s="51">
        <f>M118*K118</f>
        <v>1123.4567901234568</v>
      </c>
      <c r="M118" s="52">
        <f>P118</f>
        <v>1.7975308641975309</v>
      </c>
      <c r="N118" s="51">
        <v>810</v>
      </c>
      <c r="O118" s="51">
        <v>1456</v>
      </c>
      <c r="P118" s="52">
        <v>1.7975308641975309</v>
      </c>
      <c r="Q118" s="62">
        <f>N118</f>
        <v>810</v>
      </c>
      <c r="R118" s="83">
        <f t="shared" si="13"/>
        <v>1514.24</v>
      </c>
      <c r="S118" s="63">
        <f>R118/Q118</f>
        <v>1.869432098765432</v>
      </c>
      <c r="T118">
        <f>(R118-O118)/O118</f>
        <v>4.0000000000000008E-2</v>
      </c>
      <c r="U118">
        <f t="shared" si="14"/>
        <v>23</v>
      </c>
      <c r="V118">
        <f t="shared" si="15"/>
        <v>27</v>
      </c>
      <c r="W118">
        <f t="shared" si="16"/>
        <v>19.999999999999996</v>
      </c>
      <c r="X118">
        <f t="shared" si="17"/>
        <v>22.7</v>
      </c>
      <c r="Y118">
        <f t="shared" si="18"/>
        <v>4.0000000000000001E-3</v>
      </c>
      <c r="Z118">
        <f t="shared" si="19"/>
        <v>3.0000000000000036</v>
      </c>
      <c r="AA118">
        <f t="shared" si="20"/>
        <v>2E-3</v>
      </c>
      <c r="AB118">
        <f t="shared" si="21"/>
        <v>0</v>
      </c>
      <c r="AC118">
        <f t="shared" si="22"/>
        <v>2E-3</v>
      </c>
      <c r="AD118">
        <f t="shared" si="23"/>
        <v>1.042</v>
      </c>
      <c r="AE118">
        <f t="shared" si="24"/>
        <v>18.989999999999998</v>
      </c>
      <c r="AF118" s="80">
        <f t="shared" si="25"/>
        <v>19.79</v>
      </c>
    </row>
    <row r="119" spans="1:32" s="8" customFormat="1" ht="45">
      <c r="A119" s="3">
        <v>118</v>
      </c>
      <c r="B119" s="48" t="s">
        <v>127</v>
      </c>
      <c r="C119" s="48" t="s">
        <v>132</v>
      </c>
      <c r="D119" s="49">
        <v>13</v>
      </c>
      <c r="E119" s="49">
        <v>13</v>
      </c>
      <c r="F119" s="49">
        <v>12.5</v>
      </c>
      <c r="G119" s="49">
        <v>10.75</v>
      </c>
      <c r="H119" s="24">
        <v>240</v>
      </c>
      <c r="I119" s="24">
        <v>263</v>
      </c>
      <c r="J119" s="50">
        <f>P119</f>
        <v>1.0972222222222223</v>
      </c>
      <c r="K119" s="24">
        <v>240</v>
      </c>
      <c r="L119" s="51">
        <f>M119*K119</f>
        <v>263.33333333333337</v>
      </c>
      <c r="M119" s="52">
        <f>P119</f>
        <v>1.0972222222222223</v>
      </c>
      <c r="N119" s="51">
        <v>360</v>
      </c>
      <c r="O119" s="51">
        <v>395</v>
      </c>
      <c r="P119" s="52">
        <v>1.0972222222222223</v>
      </c>
      <c r="Q119" s="62">
        <f>N119</f>
        <v>360</v>
      </c>
      <c r="R119" s="83">
        <f t="shared" si="13"/>
        <v>410.8</v>
      </c>
      <c r="S119" s="63">
        <f>R119/Q119</f>
        <v>1.1411111111111112</v>
      </c>
      <c r="T119">
        <f>(R119-O119)/O119</f>
        <v>4.0000000000000029E-2</v>
      </c>
      <c r="U119">
        <f t="shared" si="14"/>
        <v>61.000000000000014</v>
      </c>
      <c r="V119">
        <f t="shared" si="15"/>
        <v>65</v>
      </c>
      <c r="W119">
        <f t="shared" si="16"/>
        <v>53.000000000000057</v>
      </c>
      <c r="X119">
        <f t="shared" si="17"/>
        <v>58.200000000000031</v>
      </c>
      <c r="Y119">
        <f t="shared" si="18"/>
        <v>5.0000000000000001E-3</v>
      </c>
      <c r="Z119">
        <f t="shared" si="19"/>
        <v>7.9999999999999574</v>
      </c>
      <c r="AA119">
        <f t="shared" si="20"/>
        <v>5.0000000000000001E-3</v>
      </c>
      <c r="AB119">
        <f t="shared" si="21"/>
        <v>0</v>
      </c>
      <c r="AC119">
        <f t="shared" si="22"/>
        <v>5.0000000000000001E-3</v>
      </c>
      <c r="AD119">
        <f t="shared" si="23"/>
        <v>1.0449999999999999</v>
      </c>
      <c r="AE119">
        <f t="shared" si="24"/>
        <v>11.725</v>
      </c>
      <c r="AF119" s="80">
        <f t="shared" si="25"/>
        <v>12.25</v>
      </c>
    </row>
    <row r="120" spans="1:32" s="8" customFormat="1" ht="45">
      <c r="A120" s="3">
        <v>119</v>
      </c>
      <c r="B120" s="48" t="s">
        <v>127</v>
      </c>
      <c r="C120" s="48" t="s">
        <v>133</v>
      </c>
      <c r="D120" s="49">
        <v>18.25</v>
      </c>
      <c r="E120" s="49">
        <v>18.25</v>
      </c>
      <c r="F120" s="49">
        <v>19.350000000000001</v>
      </c>
      <c r="G120" s="49">
        <v>19</v>
      </c>
      <c r="H120" s="24">
        <v>560</v>
      </c>
      <c r="I120" s="24">
        <v>857</v>
      </c>
      <c r="J120" s="50">
        <f>P120</f>
        <v>1.5297872340425531</v>
      </c>
      <c r="K120" s="24">
        <v>410</v>
      </c>
      <c r="L120" s="51">
        <f>M120*K120</f>
        <v>627.21276595744678</v>
      </c>
      <c r="M120" s="52">
        <f>P120</f>
        <v>1.5297872340425531</v>
      </c>
      <c r="N120" s="51">
        <v>470</v>
      </c>
      <c r="O120" s="51">
        <v>719</v>
      </c>
      <c r="P120" s="52">
        <v>1.5297872340425531</v>
      </c>
      <c r="Q120" s="62">
        <f>N120</f>
        <v>470</v>
      </c>
      <c r="R120" s="83">
        <f t="shared" si="13"/>
        <v>747.76</v>
      </c>
      <c r="S120" s="63">
        <f>R120/Q120</f>
        <v>1.5909787234042554</v>
      </c>
      <c r="T120">
        <f>(R120-O120)/O120</f>
        <v>3.9999999999999987E-2</v>
      </c>
      <c r="U120">
        <f t="shared" si="14"/>
        <v>22</v>
      </c>
      <c r="V120">
        <f t="shared" si="15"/>
        <v>18</v>
      </c>
      <c r="W120">
        <f t="shared" si="16"/>
        <v>22.999999999999989</v>
      </c>
      <c r="X120">
        <f t="shared" si="17"/>
        <v>21.299999999999997</v>
      </c>
      <c r="Y120">
        <f t="shared" si="18"/>
        <v>4.0000000000000001E-3</v>
      </c>
      <c r="Z120">
        <f t="shared" si="19"/>
        <v>-0.99999999999998934</v>
      </c>
      <c r="AA120">
        <f t="shared" si="20"/>
        <v>0</v>
      </c>
      <c r="AB120">
        <f t="shared" si="21"/>
        <v>0</v>
      </c>
      <c r="AC120">
        <f t="shared" si="22"/>
        <v>0</v>
      </c>
      <c r="AD120">
        <f t="shared" si="23"/>
        <v>1.04</v>
      </c>
      <c r="AE120">
        <f t="shared" si="24"/>
        <v>18.954999999999998</v>
      </c>
      <c r="AF120" s="80">
        <f t="shared" si="25"/>
        <v>19.71</v>
      </c>
    </row>
    <row r="121" spans="1:32" s="8" customFormat="1" ht="45">
      <c r="A121" s="3">
        <v>120</v>
      </c>
      <c r="B121" s="48" t="s">
        <v>127</v>
      </c>
      <c r="C121" s="48" t="s">
        <v>134</v>
      </c>
      <c r="D121" s="49">
        <v>16.149999999999999</v>
      </c>
      <c r="E121" s="49">
        <v>16.149999999999999</v>
      </c>
      <c r="F121" s="49">
        <v>16.149999999999999</v>
      </c>
      <c r="G121" s="49">
        <v>16.75</v>
      </c>
      <c r="H121" s="24">
        <v>540</v>
      </c>
      <c r="I121" s="24">
        <v>920</v>
      </c>
      <c r="J121" s="50">
        <f>P121</f>
        <v>1.7042735042735042</v>
      </c>
      <c r="K121" s="24">
        <v>495</v>
      </c>
      <c r="L121" s="51">
        <f>M121*K121</f>
        <v>843.61538461538464</v>
      </c>
      <c r="M121" s="52">
        <f>P121</f>
        <v>1.7042735042735042</v>
      </c>
      <c r="N121" s="51">
        <v>585</v>
      </c>
      <c r="O121" s="51">
        <v>997</v>
      </c>
      <c r="P121" s="52">
        <v>1.7042735042735042</v>
      </c>
      <c r="Q121" s="62">
        <f>N121</f>
        <v>585</v>
      </c>
      <c r="R121" s="83">
        <f t="shared" si="13"/>
        <v>1036.8800000000001</v>
      </c>
      <c r="S121" s="63">
        <f>R121/Q121</f>
        <v>1.7724444444444447</v>
      </c>
      <c r="T121">
        <f>(R121-O121)/O121</f>
        <v>4.0000000000000112E-2</v>
      </c>
      <c r="U121">
        <f t="shared" si="14"/>
        <v>38.999999999999993</v>
      </c>
      <c r="V121">
        <f t="shared" si="15"/>
        <v>42</v>
      </c>
      <c r="W121">
        <f t="shared" si="16"/>
        <v>31.999999999999982</v>
      </c>
      <c r="X121">
        <f t="shared" si="17"/>
        <v>36.399999999999991</v>
      </c>
      <c r="Y121">
        <f t="shared" si="18"/>
        <v>5.0000000000000001E-3</v>
      </c>
      <c r="Z121">
        <f t="shared" si="19"/>
        <v>7.0000000000000107</v>
      </c>
      <c r="AA121">
        <f t="shared" si="20"/>
        <v>5.0000000000000001E-3</v>
      </c>
      <c r="AB121">
        <f t="shared" si="21"/>
        <v>0</v>
      </c>
      <c r="AC121">
        <f t="shared" si="22"/>
        <v>5.0000000000000001E-3</v>
      </c>
      <c r="AD121">
        <f t="shared" si="23"/>
        <v>1.0449999999999999</v>
      </c>
      <c r="AE121">
        <f t="shared" si="24"/>
        <v>16.45</v>
      </c>
      <c r="AF121" s="80">
        <f t="shared" si="25"/>
        <v>17.190000000000001</v>
      </c>
    </row>
    <row r="122" spans="1:32" s="8" customFormat="1" ht="45">
      <c r="A122" s="3">
        <v>121</v>
      </c>
      <c r="B122" s="48" t="s">
        <v>127</v>
      </c>
      <c r="C122" s="48" t="s">
        <v>135</v>
      </c>
      <c r="D122" s="49">
        <v>23.65</v>
      </c>
      <c r="E122" s="49">
        <v>23.65</v>
      </c>
      <c r="F122" s="49">
        <v>22.25</v>
      </c>
      <c r="G122" s="49">
        <v>23.25</v>
      </c>
      <c r="H122" s="24">
        <v>525</v>
      </c>
      <c r="I122" s="24">
        <v>1217</v>
      </c>
      <c r="J122" s="50">
        <f>P122</f>
        <v>2.3189542483660133</v>
      </c>
      <c r="K122" s="24">
        <v>490</v>
      </c>
      <c r="L122" s="51">
        <f>M122*K122</f>
        <v>1136.2875816993464</v>
      </c>
      <c r="M122" s="52">
        <f>P122</f>
        <v>2.3189542483660133</v>
      </c>
      <c r="N122" s="51">
        <v>765</v>
      </c>
      <c r="O122" s="51">
        <v>1774</v>
      </c>
      <c r="P122" s="52">
        <v>2.3189542483660133</v>
      </c>
      <c r="Q122" s="62">
        <f>N122</f>
        <v>765</v>
      </c>
      <c r="R122" s="83">
        <f t="shared" si="13"/>
        <v>1844.96</v>
      </c>
      <c r="S122" s="63">
        <f>R122/Q122</f>
        <v>2.4117124183006537</v>
      </c>
      <c r="T122">
        <f>(R122-O122)/O122</f>
        <v>4.0000000000000022E-2</v>
      </c>
      <c r="U122">
        <f t="shared" si="14"/>
        <v>2</v>
      </c>
      <c r="V122">
        <f t="shared" si="15"/>
        <v>7</v>
      </c>
      <c r="W122">
        <f t="shared" si="16"/>
        <v>6.9999999999999991</v>
      </c>
      <c r="X122">
        <f t="shared" si="17"/>
        <v>6</v>
      </c>
      <c r="Y122">
        <f t="shared" si="18"/>
        <v>2E-3</v>
      </c>
      <c r="Z122">
        <f t="shared" si="19"/>
        <v>-4.9999999999999991</v>
      </c>
      <c r="AA122">
        <f t="shared" si="20"/>
        <v>0</v>
      </c>
      <c r="AB122">
        <f t="shared" si="21"/>
        <v>0</v>
      </c>
      <c r="AC122">
        <f t="shared" si="22"/>
        <v>0</v>
      </c>
      <c r="AD122">
        <f t="shared" si="23"/>
        <v>1.04</v>
      </c>
      <c r="AE122">
        <f t="shared" si="24"/>
        <v>23.03</v>
      </c>
      <c r="AF122" s="80">
        <f t="shared" si="25"/>
        <v>23.95</v>
      </c>
    </row>
    <row r="123" spans="1:32" s="8" customFormat="1" ht="45">
      <c r="A123" s="3">
        <v>122</v>
      </c>
      <c r="B123" s="48" t="s">
        <v>127</v>
      </c>
      <c r="C123" s="48" t="s">
        <v>30</v>
      </c>
      <c r="D123" s="49">
        <v>19.149999999999999</v>
      </c>
      <c r="E123" s="49">
        <v>19.149999999999999</v>
      </c>
      <c r="F123" s="49">
        <v>18.149999999999999</v>
      </c>
      <c r="G123" s="49">
        <v>19.75</v>
      </c>
      <c r="H123" s="24">
        <v>625</v>
      </c>
      <c r="I123" s="24">
        <v>1218</v>
      </c>
      <c r="J123" s="50">
        <f>P123</f>
        <v>1.9492063492063492</v>
      </c>
      <c r="K123" s="24">
        <v>585</v>
      </c>
      <c r="L123" s="51">
        <f>M123*K123</f>
        <v>1140.2857142857142</v>
      </c>
      <c r="M123" s="52">
        <f>P123</f>
        <v>1.9492063492063492</v>
      </c>
      <c r="N123" s="51">
        <v>630</v>
      </c>
      <c r="O123" s="51">
        <v>1228</v>
      </c>
      <c r="P123" s="52">
        <v>1.9492063492063492</v>
      </c>
      <c r="Q123" s="62">
        <f>N123</f>
        <v>630</v>
      </c>
      <c r="R123" s="83">
        <f t="shared" si="13"/>
        <v>1277.1200000000001</v>
      </c>
      <c r="S123" s="63">
        <f>R123/Q123</f>
        <v>2.0271746031746032</v>
      </c>
      <c r="T123">
        <f>(R123-O123)/O123</f>
        <v>4.0000000000000098E-2</v>
      </c>
      <c r="U123">
        <f t="shared" si="14"/>
        <v>17</v>
      </c>
      <c r="V123">
        <f t="shared" si="15"/>
        <v>24</v>
      </c>
      <c r="W123">
        <f t="shared" si="16"/>
        <v>20.999999999999993</v>
      </c>
      <c r="X123">
        <f t="shared" si="17"/>
        <v>21.099999999999994</v>
      </c>
      <c r="Y123">
        <f t="shared" si="18"/>
        <v>4.0000000000000001E-3</v>
      </c>
      <c r="Z123">
        <f t="shared" si="19"/>
        <v>-3.9999999999999929</v>
      </c>
      <c r="AA123">
        <f t="shared" si="20"/>
        <v>0</v>
      </c>
      <c r="AB123">
        <f t="shared" si="21"/>
        <v>0</v>
      </c>
      <c r="AC123">
        <f t="shared" si="22"/>
        <v>0</v>
      </c>
      <c r="AD123">
        <f t="shared" si="23"/>
        <v>1.04</v>
      </c>
      <c r="AE123">
        <f t="shared" si="24"/>
        <v>19.149999999999999</v>
      </c>
      <c r="AF123" s="80">
        <f t="shared" si="25"/>
        <v>19.920000000000002</v>
      </c>
    </row>
    <row r="124" spans="1:32" s="8" customFormat="1" ht="45">
      <c r="A124" s="3">
        <v>123</v>
      </c>
      <c r="B124" s="48" t="s">
        <v>127</v>
      </c>
      <c r="C124" s="48" t="s">
        <v>57</v>
      </c>
      <c r="D124" s="49">
        <v>17.399999999999999</v>
      </c>
      <c r="E124" s="49">
        <v>17.399999999999999</v>
      </c>
      <c r="F124" s="49">
        <v>17.649999999999999</v>
      </c>
      <c r="G124" s="49">
        <v>15.75</v>
      </c>
      <c r="H124" s="24">
        <v>530</v>
      </c>
      <c r="I124" s="24">
        <v>989</v>
      </c>
      <c r="J124" s="50">
        <f>P124</f>
        <v>1.8666666666666667</v>
      </c>
      <c r="K124" s="24">
        <v>560</v>
      </c>
      <c r="L124" s="51">
        <f>M124*K124</f>
        <v>1045.3333333333333</v>
      </c>
      <c r="M124" s="52">
        <f>P124</f>
        <v>1.8666666666666667</v>
      </c>
      <c r="N124" s="51">
        <v>540</v>
      </c>
      <c r="O124" s="51">
        <v>1008</v>
      </c>
      <c r="P124" s="52">
        <v>1.8666666666666667</v>
      </c>
      <c r="Q124" s="62">
        <f>N124</f>
        <v>540</v>
      </c>
      <c r="R124" s="83">
        <f t="shared" si="13"/>
        <v>1048.32</v>
      </c>
      <c r="S124" s="63">
        <f>R124/Q124</f>
        <v>1.9413333333333331</v>
      </c>
      <c r="T124">
        <f>(R124-O124)/O124</f>
        <v>3.9999999999999938E-2</v>
      </c>
      <c r="U124">
        <f t="shared" si="14"/>
        <v>27.999999999999996</v>
      </c>
      <c r="V124">
        <f t="shared" si="15"/>
        <v>29</v>
      </c>
      <c r="W124">
        <f t="shared" si="16"/>
        <v>35.999999999999979</v>
      </c>
      <c r="X124">
        <f t="shared" si="17"/>
        <v>32.29999999999999</v>
      </c>
      <c r="Y124">
        <f t="shared" si="18"/>
        <v>5.0000000000000001E-3</v>
      </c>
      <c r="Z124">
        <f t="shared" si="19"/>
        <v>-7.9999999999999822</v>
      </c>
      <c r="AA124">
        <f t="shared" si="20"/>
        <v>0</v>
      </c>
      <c r="AB124">
        <f t="shared" si="21"/>
        <v>0</v>
      </c>
      <c r="AC124">
        <f t="shared" si="22"/>
        <v>0</v>
      </c>
      <c r="AD124">
        <f t="shared" si="23"/>
        <v>1.04</v>
      </c>
      <c r="AE124">
        <f t="shared" si="24"/>
        <v>16.649999999999999</v>
      </c>
      <c r="AF124" s="80">
        <f t="shared" si="25"/>
        <v>17.32</v>
      </c>
    </row>
    <row r="125" spans="1:32" s="8" customFormat="1" ht="45">
      <c r="A125" s="3">
        <v>124</v>
      </c>
      <c r="B125" s="48" t="s">
        <v>127</v>
      </c>
      <c r="C125" s="48" t="s">
        <v>136</v>
      </c>
      <c r="D125" s="49">
        <v>15.4</v>
      </c>
      <c r="E125" s="49">
        <v>15.4</v>
      </c>
      <c r="F125" s="49">
        <v>16.8</v>
      </c>
      <c r="G125" s="49">
        <v>15</v>
      </c>
      <c r="H125" s="24">
        <v>480</v>
      </c>
      <c r="I125" s="24">
        <v>814</v>
      </c>
      <c r="J125" s="50">
        <f>P125</f>
        <v>1.6962962962962962</v>
      </c>
      <c r="K125" s="24">
        <v>440</v>
      </c>
      <c r="L125" s="51">
        <f>M125*K125</f>
        <v>746.37037037037032</v>
      </c>
      <c r="M125" s="52">
        <f>P125</f>
        <v>1.6962962962962962</v>
      </c>
      <c r="N125" s="51">
        <v>675</v>
      </c>
      <c r="O125" s="51">
        <v>1145</v>
      </c>
      <c r="P125" s="52">
        <v>1.6962962962962962</v>
      </c>
      <c r="Q125" s="62">
        <f>N125</f>
        <v>675</v>
      </c>
      <c r="R125" s="83">
        <f t="shared" si="13"/>
        <v>1190.8</v>
      </c>
      <c r="S125" s="63">
        <f>R125/Q125</f>
        <v>1.764148148148148</v>
      </c>
      <c r="T125">
        <f>(R125-O125)/O125</f>
        <v>3.9999999999999959E-2</v>
      </c>
      <c r="U125">
        <f t="shared" si="14"/>
        <v>43.000000000000007</v>
      </c>
      <c r="V125">
        <f t="shared" si="15"/>
        <v>37</v>
      </c>
      <c r="W125">
        <f t="shared" si="16"/>
        <v>38.999999999999993</v>
      </c>
      <c r="X125">
        <f t="shared" si="17"/>
        <v>39.199999999999996</v>
      </c>
      <c r="Y125">
        <f t="shared" si="18"/>
        <v>5.0000000000000001E-3</v>
      </c>
      <c r="Z125">
        <f t="shared" si="19"/>
        <v>4.0000000000000142</v>
      </c>
      <c r="AA125">
        <f t="shared" si="20"/>
        <v>2.5000000000000001E-3</v>
      </c>
      <c r="AB125">
        <f t="shared" si="21"/>
        <v>0</v>
      </c>
      <c r="AC125">
        <f t="shared" si="22"/>
        <v>2.5000000000000001E-3</v>
      </c>
      <c r="AD125">
        <f t="shared" si="23"/>
        <v>1.0425</v>
      </c>
      <c r="AE125">
        <f t="shared" si="24"/>
        <v>15.62</v>
      </c>
      <c r="AF125" s="80">
        <f t="shared" si="25"/>
        <v>16.28</v>
      </c>
    </row>
    <row r="126" spans="1:32" s="8" customFormat="1" ht="45">
      <c r="A126" s="3">
        <v>125</v>
      </c>
      <c r="B126" s="48" t="s">
        <v>127</v>
      </c>
      <c r="C126" s="48" t="s">
        <v>137</v>
      </c>
      <c r="D126" s="49">
        <v>11.6</v>
      </c>
      <c r="E126" s="49">
        <v>11.6</v>
      </c>
      <c r="F126" s="49">
        <v>12.2</v>
      </c>
      <c r="G126" s="49">
        <v>11.5</v>
      </c>
      <c r="H126" s="24">
        <v>540</v>
      </c>
      <c r="I126" s="24">
        <v>641</v>
      </c>
      <c r="J126" s="50">
        <f>P126</f>
        <v>1.1873015873015873</v>
      </c>
      <c r="K126" s="24">
        <v>520</v>
      </c>
      <c r="L126" s="51">
        <f>M126*K126</f>
        <v>617.39682539682542</v>
      </c>
      <c r="M126" s="52">
        <f>P126</f>
        <v>1.1873015873015873</v>
      </c>
      <c r="N126" s="51">
        <v>630</v>
      </c>
      <c r="O126" s="51">
        <v>748</v>
      </c>
      <c r="P126" s="52">
        <v>1.1873015873015873</v>
      </c>
      <c r="Q126" s="62">
        <f>N126</f>
        <v>630</v>
      </c>
      <c r="R126" s="83">
        <f t="shared" si="13"/>
        <v>777.92000000000007</v>
      </c>
      <c r="S126" s="63">
        <f>R126/Q126</f>
        <v>1.234793650793651</v>
      </c>
      <c r="T126">
        <f>(R126-O126)/O126</f>
        <v>4.0000000000000098E-2</v>
      </c>
      <c r="U126">
        <f t="shared" si="14"/>
        <v>73</v>
      </c>
      <c r="V126">
        <f t="shared" si="15"/>
        <v>66.999999999999986</v>
      </c>
      <c r="W126">
        <f t="shared" si="16"/>
        <v>51.000000000000043</v>
      </c>
      <c r="X126">
        <f t="shared" si="17"/>
        <v>60.200000000000017</v>
      </c>
      <c r="Y126">
        <f t="shared" si="18"/>
        <v>5.0000000000000001E-3</v>
      </c>
      <c r="Z126">
        <f t="shared" si="19"/>
        <v>21.999999999999957</v>
      </c>
      <c r="AA126">
        <f t="shared" si="20"/>
        <v>5.0000000000000001E-3</v>
      </c>
      <c r="AB126">
        <f t="shared" si="21"/>
        <v>0</v>
      </c>
      <c r="AC126">
        <f t="shared" si="22"/>
        <v>5.0000000000000001E-3</v>
      </c>
      <c r="AD126">
        <f t="shared" si="23"/>
        <v>1.0449999999999999</v>
      </c>
      <c r="AE126">
        <f t="shared" si="24"/>
        <v>11.73</v>
      </c>
      <c r="AF126" s="80">
        <f t="shared" si="25"/>
        <v>12.26</v>
      </c>
    </row>
    <row r="127" spans="1:32" s="8" customFormat="1" ht="45">
      <c r="A127" s="3">
        <v>126</v>
      </c>
      <c r="B127" s="48" t="s">
        <v>127</v>
      </c>
      <c r="C127" s="48" t="s">
        <v>138</v>
      </c>
      <c r="D127" s="49">
        <v>17.7</v>
      </c>
      <c r="E127" s="49">
        <v>17.7</v>
      </c>
      <c r="F127" s="49">
        <v>17.600000000000001</v>
      </c>
      <c r="G127" s="49">
        <v>18.5</v>
      </c>
      <c r="H127" s="24">
        <v>675</v>
      </c>
      <c r="I127" s="24">
        <v>1433</v>
      </c>
      <c r="J127" s="50">
        <f>P127</f>
        <v>2.1234567901234569</v>
      </c>
      <c r="K127" s="24">
        <v>650</v>
      </c>
      <c r="L127" s="51">
        <f>M127*K127</f>
        <v>1380.2469135802469</v>
      </c>
      <c r="M127" s="52">
        <f>P127</f>
        <v>2.1234567901234569</v>
      </c>
      <c r="N127" s="51">
        <v>810</v>
      </c>
      <c r="O127" s="51">
        <v>1720</v>
      </c>
      <c r="P127" s="52">
        <v>2.1234567901234569</v>
      </c>
      <c r="Q127" s="62">
        <f>N127</f>
        <v>810</v>
      </c>
      <c r="R127" s="83">
        <f t="shared" si="13"/>
        <v>1788.8</v>
      </c>
      <c r="S127" s="63">
        <f>R127/Q127</f>
        <v>2.2083950617283952</v>
      </c>
      <c r="T127">
        <f>(R127-O127)/O127</f>
        <v>3.9999999999999973E-2</v>
      </c>
      <c r="U127">
        <f t="shared" si="14"/>
        <v>25.999999999999996</v>
      </c>
      <c r="V127">
        <f t="shared" si="15"/>
        <v>30</v>
      </c>
      <c r="W127">
        <f t="shared" si="16"/>
        <v>24.999999999999986</v>
      </c>
      <c r="X127">
        <f t="shared" si="17"/>
        <v>26.699999999999992</v>
      </c>
      <c r="Y127">
        <f t="shared" si="18"/>
        <v>4.0000000000000001E-3</v>
      </c>
      <c r="Z127">
        <f t="shared" si="19"/>
        <v>1.0000000000000107</v>
      </c>
      <c r="AA127">
        <f t="shared" si="20"/>
        <v>0</v>
      </c>
      <c r="AB127">
        <f t="shared" si="21"/>
        <v>0</v>
      </c>
      <c r="AC127">
        <f t="shared" si="22"/>
        <v>0</v>
      </c>
      <c r="AD127">
        <f t="shared" si="23"/>
        <v>1.04</v>
      </c>
      <c r="AE127">
        <f t="shared" si="24"/>
        <v>18.07</v>
      </c>
      <c r="AF127" s="80">
        <f t="shared" si="25"/>
        <v>18.79</v>
      </c>
    </row>
    <row r="128" spans="1:32" s="8" customFormat="1" ht="45">
      <c r="A128" s="3">
        <v>127</v>
      </c>
      <c r="B128" s="48" t="s">
        <v>127</v>
      </c>
      <c r="C128" s="48" t="s">
        <v>139</v>
      </c>
      <c r="D128" s="49">
        <v>13.4</v>
      </c>
      <c r="E128" s="49">
        <v>13.4</v>
      </c>
      <c r="F128" s="49">
        <v>13.15</v>
      </c>
      <c r="G128" s="49">
        <v>12.5</v>
      </c>
      <c r="H128" s="24">
        <v>360</v>
      </c>
      <c r="I128" s="24">
        <v>457</v>
      </c>
      <c r="J128" s="50">
        <f>P128</f>
        <v>1.268888888888889</v>
      </c>
      <c r="K128" s="24">
        <v>360</v>
      </c>
      <c r="L128" s="51">
        <f>M128*K128</f>
        <v>456.8</v>
      </c>
      <c r="M128" s="52">
        <f>P128</f>
        <v>1.268888888888889</v>
      </c>
      <c r="N128" s="51">
        <v>450</v>
      </c>
      <c r="O128" s="51">
        <v>571</v>
      </c>
      <c r="P128" s="52">
        <v>1.268888888888889</v>
      </c>
      <c r="Q128" s="62">
        <f>N128</f>
        <v>450</v>
      </c>
      <c r="R128" s="83">
        <f t="shared" si="13"/>
        <v>593.84</v>
      </c>
      <c r="S128" s="63">
        <f>R128/Q128</f>
        <v>1.3196444444444446</v>
      </c>
      <c r="T128">
        <f>(R128-O128)/O128</f>
        <v>4.0000000000000056E-2</v>
      </c>
      <c r="U128">
        <f t="shared" si="14"/>
        <v>57.000000000000007</v>
      </c>
      <c r="V128">
        <f t="shared" si="15"/>
        <v>62</v>
      </c>
      <c r="W128">
        <f t="shared" si="16"/>
        <v>47.000000000000028</v>
      </c>
      <c r="X128">
        <f t="shared" si="17"/>
        <v>53.500000000000014</v>
      </c>
      <c r="Y128">
        <f t="shared" si="18"/>
        <v>5.0000000000000001E-3</v>
      </c>
      <c r="Z128">
        <f t="shared" si="19"/>
        <v>9.9999999999999787</v>
      </c>
      <c r="AA128">
        <f t="shared" si="20"/>
        <v>5.0000000000000001E-3</v>
      </c>
      <c r="AB128">
        <f t="shared" si="21"/>
        <v>0</v>
      </c>
      <c r="AC128">
        <f t="shared" si="22"/>
        <v>5.0000000000000001E-3</v>
      </c>
      <c r="AD128">
        <f t="shared" si="23"/>
        <v>1.0449999999999999</v>
      </c>
      <c r="AE128">
        <f t="shared" si="24"/>
        <v>12.875</v>
      </c>
      <c r="AF128" s="80">
        <f t="shared" si="25"/>
        <v>13.45</v>
      </c>
    </row>
    <row r="129" spans="1:32" s="8" customFormat="1" ht="45">
      <c r="A129" s="3">
        <v>128</v>
      </c>
      <c r="B129" s="48" t="s">
        <v>127</v>
      </c>
      <c r="C129" s="48" t="s">
        <v>37</v>
      </c>
      <c r="D129" s="49">
        <v>14.85</v>
      </c>
      <c r="E129" s="49">
        <v>14.85</v>
      </c>
      <c r="F129" s="49">
        <v>16.55</v>
      </c>
      <c r="G129" s="49">
        <v>15.5</v>
      </c>
      <c r="H129" s="24">
        <v>630</v>
      </c>
      <c r="I129" s="24">
        <v>860</v>
      </c>
      <c r="J129" s="50">
        <f>P129</f>
        <v>1.3641975308641976</v>
      </c>
      <c r="K129" s="24">
        <v>516</v>
      </c>
      <c r="L129" s="51">
        <f>M129*K129</f>
        <v>703.92592592592598</v>
      </c>
      <c r="M129" s="52">
        <f>P129</f>
        <v>1.3641975308641976</v>
      </c>
      <c r="N129" s="51">
        <v>810</v>
      </c>
      <c r="O129" s="51">
        <v>1105</v>
      </c>
      <c r="P129" s="52">
        <v>1.3641975308641976</v>
      </c>
      <c r="Q129" s="62">
        <f>N129</f>
        <v>810</v>
      </c>
      <c r="R129" s="83">
        <f t="shared" si="13"/>
        <v>1149.2</v>
      </c>
      <c r="S129" s="63">
        <f>R129/Q129</f>
        <v>1.4187654320987655</v>
      </c>
      <c r="T129">
        <f>(R129-O129)/O129</f>
        <v>4.0000000000000042E-2</v>
      </c>
      <c r="U129">
        <f t="shared" si="14"/>
        <v>47.000000000000007</v>
      </c>
      <c r="V129">
        <f t="shared" si="15"/>
        <v>39</v>
      </c>
      <c r="W129">
        <f t="shared" si="16"/>
        <v>36.999999999999979</v>
      </c>
      <c r="X129">
        <f t="shared" si="17"/>
        <v>39.599999999999994</v>
      </c>
      <c r="Y129">
        <f t="shared" si="18"/>
        <v>5.0000000000000001E-3</v>
      </c>
      <c r="Z129">
        <f t="shared" si="19"/>
        <v>10.000000000000028</v>
      </c>
      <c r="AA129">
        <f t="shared" si="20"/>
        <v>5.0000000000000001E-3</v>
      </c>
      <c r="AB129">
        <f t="shared" si="21"/>
        <v>0</v>
      </c>
      <c r="AC129">
        <f t="shared" si="22"/>
        <v>5.0000000000000001E-3</v>
      </c>
      <c r="AD129">
        <f t="shared" si="23"/>
        <v>1.0449999999999999</v>
      </c>
      <c r="AE129">
        <f t="shared" si="24"/>
        <v>15.685</v>
      </c>
      <c r="AF129" s="80">
        <f t="shared" si="25"/>
        <v>16.39</v>
      </c>
    </row>
    <row r="130" spans="1:32" s="8" customFormat="1" ht="45">
      <c r="A130" s="3">
        <v>129</v>
      </c>
      <c r="B130" s="48" t="s">
        <v>127</v>
      </c>
      <c r="C130" s="48" t="s">
        <v>140</v>
      </c>
      <c r="D130" s="49">
        <v>16.25</v>
      </c>
      <c r="E130" s="49">
        <v>16.25</v>
      </c>
      <c r="F130" s="49">
        <v>17.2</v>
      </c>
      <c r="G130" s="49">
        <v>16.75</v>
      </c>
      <c r="H130" s="24">
        <v>670</v>
      </c>
      <c r="I130" s="24">
        <v>1570</v>
      </c>
      <c r="J130" s="50">
        <f>P130</f>
        <v>2.25</v>
      </c>
      <c r="K130" s="24">
        <v>540</v>
      </c>
      <c r="L130" s="51">
        <f>M130*K130</f>
        <v>1215</v>
      </c>
      <c r="M130" s="52">
        <f>P130</f>
        <v>2.25</v>
      </c>
      <c r="N130" s="51">
        <v>540</v>
      </c>
      <c r="O130" s="51">
        <v>1215</v>
      </c>
      <c r="P130" s="52">
        <v>2.25</v>
      </c>
      <c r="Q130" s="62">
        <f>N130</f>
        <v>540</v>
      </c>
      <c r="R130" s="83">
        <f t="shared" si="13"/>
        <v>1263.6000000000001</v>
      </c>
      <c r="S130" s="63">
        <f>R130/Q130</f>
        <v>2.3400000000000003</v>
      </c>
      <c r="T130">
        <f>(R130-O130)/O130</f>
        <v>4.0000000000000112E-2</v>
      </c>
      <c r="U130">
        <f t="shared" si="14"/>
        <v>37</v>
      </c>
      <c r="V130">
        <f t="shared" si="15"/>
        <v>35</v>
      </c>
      <c r="W130">
        <f t="shared" si="16"/>
        <v>31.999999999999982</v>
      </c>
      <c r="X130">
        <f t="shared" si="17"/>
        <v>33.899999999999991</v>
      </c>
      <c r="Y130">
        <f t="shared" si="18"/>
        <v>5.0000000000000001E-3</v>
      </c>
      <c r="Z130">
        <f t="shared" si="19"/>
        <v>5.0000000000000178</v>
      </c>
      <c r="AA130">
        <f t="shared" si="20"/>
        <v>5.0000000000000001E-3</v>
      </c>
      <c r="AB130">
        <f t="shared" si="21"/>
        <v>0</v>
      </c>
      <c r="AC130">
        <f t="shared" si="22"/>
        <v>5.0000000000000001E-3</v>
      </c>
      <c r="AD130">
        <f t="shared" si="23"/>
        <v>1.0449999999999999</v>
      </c>
      <c r="AE130">
        <f t="shared" si="24"/>
        <v>16.785</v>
      </c>
      <c r="AF130" s="80">
        <f t="shared" si="25"/>
        <v>17.54</v>
      </c>
    </row>
    <row r="131" spans="1:32" s="8" customFormat="1" ht="45">
      <c r="A131" s="3">
        <v>130</v>
      </c>
      <c r="B131" s="48" t="s">
        <v>127</v>
      </c>
      <c r="C131" s="48" t="s">
        <v>141</v>
      </c>
      <c r="D131" s="49">
        <v>12.6</v>
      </c>
      <c r="E131" s="49">
        <v>12.6</v>
      </c>
      <c r="F131" s="49">
        <v>13.4</v>
      </c>
      <c r="G131" s="49">
        <v>10.25</v>
      </c>
      <c r="H131" s="24">
        <v>160</v>
      </c>
      <c r="I131" s="24">
        <v>94</v>
      </c>
      <c r="J131" s="50">
        <f>P131</f>
        <v>0.58888888888888891</v>
      </c>
      <c r="K131" s="24">
        <v>200</v>
      </c>
      <c r="L131" s="51">
        <f>M131*K131</f>
        <v>117.77777777777779</v>
      </c>
      <c r="M131" s="52">
        <f>P131</f>
        <v>0.58888888888888891</v>
      </c>
      <c r="N131" s="51">
        <v>450</v>
      </c>
      <c r="O131" s="51">
        <v>265</v>
      </c>
      <c r="P131" s="52">
        <v>0.58888888888888891</v>
      </c>
      <c r="Q131" s="62">
        <f>N131</f>
        <v>450</v>
      </c>
      <c r="R131" s="83">
        <f t="shared" ref="R131:R172" si="26">O131*1.04</f>
        <v>275.60000000000002</v>
      </c>
      <c r="S131" s="63">
        <f>R131/Q131</f>
        <v>0.61244444444444446</v>
      </c>
      <c r="T131">
        <f>(R131-O131)/O131</f>
        <v>4.0000000000000084E-2</v>
      </c>
      <c r="U131">
        <f t="shared" ref="U131:U171" si="27">IF(E131=" "," ",1+SUMPRODUCT(($E$2:$E$171&gt;E131)/COUNTIF($E$2:$E$171,$E$2:$E$171)))</f>
        <v>63.000000000000014</v>
      </c>
      <c r="V131">
        <f t="shared" ref="V131:V171" si="28">IF(F131=" "," ",1+SUMPRODUCT(($F$2:$F$171&gt;F131)/COUNTIF($F$2:$F$171,$F$2:$F$171)))</f>
        <v>61</v>
      </c>
      <c r="W131">
        <f t="shared" ref="W131:W171" si="29">IF(G131=" "," ",1+SUMPRODUCT(($G$2:$G$171&gt;G131)/COUNTIF($G$2:$G$171,$G$2:$G$171)))</f>
        <v>55.000000000000071</v>
      </c>
      <c r="X131">
        <f t="shared" ref="X131:X171" si="30">(W131*0.5)+(V131*0.3)+(U131*0.2)</f>
        <v>58.400000000000041</v>
      </c>
      <c r="Y131">
        <f t="shared" ref="Y131:Y171" si="31">IF(X131&lt;=10, 0.002, IF(X131&lt;=20, 0.003, IF(X131&lt;=30, 0.004, 0.005)))</f>
        <v>5.0000000000000001E-3</v>
      </c>
      <c r="Z131">
        <f t="shared" ref="Z131:Z171" si="32">U131-W131</f>
        <v>7.9999999999999432</v>
      </c>
      <c r="AA131">
        <f t="shared" ref="AA131:AA171" si="33">IF(Z131&gt;=5, Y131, IF(Z131&gt;=2, Y131/2, IF(T131&lt;=-2, -Z131/2, 0)))</f>
        <v>5.0000000000000001E-3</v>
      </c>
      <c r="AB131">
        <f t="shared" ref="AB131:AB171" si="34">((P131-M131)/M131)*IF(X131&lt;=10, 0.015, IF(X131&lt;=20, 0.06, IF(X131&lt;=30, 0.05, 0.05)))</f>
        <v>0</v>
      </c>
      <c r="AC131">
        <f t="shared" ref="AC131:AC171" si="35">AA131+AB131</f>
        <v>5.0000000000000001E-3</v>
      </c>
      <c r="AD131">
        <f t="shared" ref="AD131:AD171" si="36">1+T131+AC131</f>
        <v>1.0449999999999999</v>
      </c>
      <c r="AE131">
        <f t="shared" ref="AE131:AE171" si="37">(G131*0.5)+(F131*0.3)+(E131*0.2)</f>
        <v>11.664999999999999</v>
      </c>
      <c r="AF131" s="80">
        <f t="shared" ref="AF131:AF171" si="38">ROUND(AE131*AD131,2)</f>
        <v>12.19</v>
      </c>
    </row>
    <row r="132" spans="1:32" s="8" customFormat="1" ht="45">
      <c r="A132" s="3">
        <v>131</v>
      </c>
      <c r="B132" s="48" t="s">
        <v>127</v>
      </c>
      <c r="C132" s="48" t="s">
        <v>142</v>
      </c>
      <c r="D132" s="49">
        <v>12.05</v>
      </c>
      <c r="E132" s="49">
        <v>12.05</v>
      </c>
      <c r="F132" s="49">
        <v>14.7</v>
      </c>
      <c r="G132" s="49">
        <v>9</v>
      </c>
      <c r="H132" s="24">
        <v>160</v>
      </c>
      <c r="I132" s="24">
        <v>88</v>
      </c>
      <c r="J132" s="50">
        <f>P132</f>
        <v>0.54666666666666663</v>
      </c>
      <c r="K132" s="24">
        <v>160</v>
      </c>
      <c r="L132" s="51">
        <f>M132*K132</f>
        <v>87.466666666666669</v>
      </c>
      <c r="M132" s="52">
        <f>P132</f>
        <v>0.54666666666666663</v>
      </c>
      <c r="N132" s="51">
        <v>450</v>
      </c>
      <c r="O132" s="51">
        <v>246</v>
      </c>
      <c r="P132" s="52">
        <v>0.54666666666666663</v>
      </c>
      <c r="Q132" s="62">
        <f>N132</f>
        <v>450</v>
      </c>
      <c r="R132" s="83">
        <f t="shared" si="26"/>
        <v>255.84</v>
      </c>
      <c r="S132" s="63">
        <f>R132/Q132</f>
        <v>0.56853333333333333</v>
      </c>
      <c r="T132">
        <f>(R132-O132)/O132</f>
        <v>4.0000000000000015E-2</v>
      </c>
      <c r="U132">
        <f t="shared" si="27"/>
        <v>69.000000000000028</v>
      </c>
      <c r="V132">
        <f t="shared" si="28"/>
        <v>53.000000000000007</v>
      </c>
      <c r="W132">
        <f t="shared" si="29"/>
        <v>57.000000000000078</v>
      </c>
      <c r="X132">
        <f t="shared" si="30"/>
        <v>58.200000000000045</v>
      </c>
      <c r="Y132">
        <f t="shared" si="31"/>
        <v>5.0000000000000001E-3</v>
      </c>
      <c r="Z132">
        <f t="shared" si="32"/>
        <v>11.99999999999995</v>
      </c>
      <c r="AA132">
        <f t="shared" si="33"/>
        <v>5.0000000000000001E-3</v>
      </c>
      <c r="AB132">
        <f t="shared" si="34"/>
        <v>0</v>
      </c>
      <c r="AC132">
        <f t="shared" si="35"/>
        <v>5.0000000000000001E-3</v>
      </c>
      <c r="AD132">
        <f t="shared" si="36"/>
        <v>1.0449999999999999</v>
      </c>
      <c r="AE132">
        <f t="shared" si="37"/>
        <v>11.32</v>
      </c>
      <c r="AF132" s="80">
        <f t="shared" si="38"/>
        <v>11.83</v>
      </c>
    </row>
    <row r="133" spans="1:32" s="8" customFormat="1" ht="45">
      <c r="A133" s="3">
        <v>132</v>
      </c>
      <c r="B133" s="48" t="s">
        <v>127</v>
      </c>
      <c r="C133" s="48" t="s">
        <v>143</v>
      </c>
      <c r="D133" s="49">
        <v>14.6</v>
      </c>
      <c r="E133" s="49">
        <v>14.6</v>
      </c>
      <c r="F133" s="49">
        <v>15.35</v>
      </c>
      <c r="G133" s="49">
        <v>14.5</v>
      </c>
      <c r="H133" s="24">
        <v>460</v>
      </c>
      <c r="I133" s="24">
        <v>601</v>
      </c>
      <c r="J133" s="50">
        <f>P133</f>
        <v>1.3066666666666666</v>
      </c>
      <c r="K133" s="24">
        <v>500</v>
      </c>
      <c r="L133" s="51">
        <f>M133*K133</f>
        <v>653.33333333333337</v>
      </c>
      <c r="M133" s="52">
        <f>P133</f>
        <v>1.3066666666666666</v>
      </c>
      <c r="N133" s="51">
        <v>675</v>
      </c>
      <c r="O133" s="51">
        <v>882</v>
      </c>
      <c r="P133" s="52">
        <v>1.3066666666666666</v>
      </c>
      <c r="Q133" s="62">
        <f>N133</f>
        <v>675</v>
      </c>
      <c r="R133" s="83">
        <f t="shared" si="26"/>
        <v>917.28000000000009</v>
      </c>
      <c r="S133" s="63">
        <f>R133/Q133</f>
        <v>1.3589333333333335</v>
      </c>
      <c r="T133">
        <f>(R133-O133)/O133</f>
        <v>4.0000000000000098E-2</v>
      </c>
      <c r="U133">
        <f t="shared" si="27"/>
        <v>49</v>
      </c>
      <c r="V133">
        <f t="shared" si="28"/>
        <v>47.000000000000007</v>
      </c>
      <c r="W133">
        <f t="shared" si="29"/>
        <v>41</v>
      </c>
      <c r="X133">
        <f t="shared" si="30"/>
        <v>44.400000000000006</v>
      </c>
      <c r="Y133">
        <f t="shared" si="31"/>
        <v>5.0000000000000001E-3</v>
      </c>
      <c r="Z133">
        <f t="shared" si="32"/>
        <v>8</v>
      </c>
      <c r="AA133">
        <f t="shared" si="33"/>
        <v>5.0000000000000001E-3</v>
      </c>
      <c r="AB133">
        <f t="shared" si="34"/>
        <v>0</v>
      </c>
      <c r="AC133">
        <f t="shared" si="35"/>
        <v>5.0000000000000001E-3</v>
      </c>
      <c r="AD133">
        <f t="shared" si="36"/>
        <v>1.0449999999999999</v>
      </c>
      <c r="AE133">
        <f t="shared" si="37"/>
        <v>14.775</v>
      </c>
      <c r="AF133" s="80">
        <f t="shared" si="38"/>
        <v>15.44</v>
      </c>
    </row>
    <row r="134" spans="1:32" s="8" customFormat="1" ht="45">
      <c r="A134" s="3">
        <v>133</v>
      </c>
      <c r="B134" s="48" t="s">
        <v>127</v>
      </c>
      <c r="C134" s="48" t="s">
        <v>144</v>
      </c>
      <c r="D134" s="49">
        <v>17.7</v>
      </c>
      <c r="E134" s="49">
        <v>17.7</v>
      </c>
      <c r="F134" s="49">
        <v>18.100000000000001</v>
      </c>
      <c r="G134" s="49">
        <v>19.25</v>
      </c>
      <c r="H134" s="24">
        <v>450</v>
      </c>
      <c r="I134" s="24">
        <v>884</v>
      </c>
      <c r="J134" s="50">
        <f>P134</f>
        <v>1.9636363636363636</v>
      </c>
      <c r="K134" s="24">
        <v>420</v>
      </c>
      <c r="L134" s="51">
        <f>M134*K134</f>
        <v>824.72727272727275</v>
      </c>
      <c r="M134" s="52">
        <f>P134</f>
        <v>1.9636363636363636</v>
      </c>
      <c r="N134" s="51">
        <v>495</v>
      </c>
      <c r="O134" s="51">
        <v>972</v>
      </c>
      <c r="P134" s="52">
        <v>1.9636363636363636</v>
      </c>
      <c r="Q134" s="62">
        <f>N134</f>
        <v>495</v>
      </c>
      <c r="R134" s="83">
        <f t="shared" si="26"/>
        <v>1010.88</v>
      </c>
      <c r="S134" s="63">
        <f>R134/Q134</f>
        <v>2.0421818181818181</v>
      </c>
      <c r="T134">
        <f>(R134-O134)/O134</f>
        <v>3.9999999999999994E-2</v>
      </c>
      <c r="U134">
        <f t="shared" si="27"/>
        <v>25.999999999999996</v>
      </c>
      <c r="V134">
        <f t="shared" si="28"/>
        <v>25</v>
      </c>
      <c r="W134">
        <f t="shared" si="29"/>
        <v>21.999999999999989</v>
      </c>
      <c r="X134">
        <f t="shared" si="30"/>
        <v>23.699999999999992</v>
      </c>
      <c r="Y134">
        <f t="shared" si="31"/>
        <v>4.0000000000000001E-3</v>
      </c>
      <c r="Z134">
        <f t="shared" si="32"/>
        <v>4.0000000000000071</v>
      </c>
      <c r="AA134">
        <f t="shared" si="33"/>
        <v>2E-3</v>
      </c>
      <c r="AB134">
        <f t="shared" si="34"/>
        <v>0</v>
      </c>
      <c r="AC134">
        <f t="shared" si="35"/>
        <v>2E-3</v>
      </c>
      <c r="AD134">
        <f t="shared" si="36"/>
        <v>1.042</v>
      </c>
      <c r="AE134">
        <f t="shared" si="37"/>
        <v>18.594999999999999</v>
      </c>
      <c r="AF134" s="80">
        <f t="shared" si="38"/>
        <v>19.38</v>
      </c>
    </row>
    <row r="135" spans="1:32" s="8" customFormat="1" ht="45">
      <c r="A135" s="3">
        <v>134</v>
      </c>
      <c r="B135" s="48" t="s">
        <v>127</v>
      </c>
      <c r="C135" s="48" t="s">
        <v>145</v>
      </c>
      <c r="D135" s="49">
        <v>16.25</v>
      </c>
      <c r="E135" s="49">
        <v>16.25</v>
      </c>
      <c r="F135" s="49">
        <v>17.25</v>
      </c>
      <c r="G135" s="49">
        <v>15.5</v>
      </c>
      <c r="H135" s="24">
        <v>490</v>
      </c>
      <c r="I135" s="24">
        <v>776</v>
      </c>
      <c r="J135" s="50">
        <f>P135</f>
        <v>1.584313725490196</v>
      </c>
      <c r="K135" s="24">
        <v>400</v>
      </c>
      <c r="L135" s="51">
        <f>M135*K135</f>
        <v>633.72549019607845</v>
      </c>
      <c r="M135" s="52">
        <f>P135</f>
        <v>1.584313725490196</v>
      </c>
      <c r="N135" s="51">
        <v>765</v>
      </c>
      <c r="O135" s="51">
        <v>1212</v>
      </c>
      <c r="P135" s="52">
        <v>1.584313725490196</v>
      </c>
      <c r="Q135" s="62">
        <f>N135</f>
        <v>765</v>
      </c>
      <c r="R135" s="83">
        <f t="shared" si="26"/>
        <v>1260.48</v>
      </c>
      <c r="S135" s="63">
        <f>R135/Q135</f>
        <v>1.647686274509804</v>
      </c>
      <c r="T135">
        <f>(R135-O135)/O135</f>
        <v>4.0000000000000015E-2</v>
      </c>
      <c r="U135">
        <f t="shared" si="27"/>
        <v>37</v>
      </c>
      <c r="V135">
        <f t="shared" si="28"/>
        <v>34</v>
      </c>
      <c r="W135">
        <f t="shared" si="29"/>
        <v>36.999999999999979</v>
      </c>
      <c r="X135">
        <f t="shared" si="30"/>
        <v>36.099999999999987</v>
      </c>
      <c r="Y135">
        <f t="shared" si="31"/>
        <v>5.0000000000000001E-3</v>
      </c>
      <c r="Z135">
        <f t="shared" si="32"/>
        <v>0</v>
      </c>
      <c r="AA135">
        <f t="shared" si="33"/>
        <v>0</v>
      </c>
      <c r="AB135">
        <f t="shared" si="34"/>
        <v>0</v>
      </c>
      <c r="AC135">
        <f t="shared" si="35"/>
        <v>0</v>
      </c>
      <c r="AD135">
        <f t="shared" si="36"/>
        <v>1.04</v>
      </c>
      <c r="AE135">
        <f t="shared" si="37"/>
        <v>16.175000000000001</v>
      </c>
      <c r="AF135" s="80">
        <f t="shared" si="38"/>
        <v>16.82</v>
      </c>
    </row>
    <row r="136" spans="1:32" s="8" customFormat="1" ht="45">
      <c r="A136" s="3">
        <v>135</v>
      </c>
      <c r="B136" s="48" t="s">
        <v>127</v>
      </c>
      <c r="C136" s="48" t="s">
        <v>146</v>
      </c>
      <c r="D136" s="49">
        <v>16.899999999999999</v>
      </c>
      <c r="E136" s="49">
        <v>16.899999999999999</v>
      </c>
      <c r="F136" s="49">
        <v>17.350000000000001</v>
      </c>
      <c r="G136" s="49">
        <v>18.5</v>
      </c>
      <c r="H136" s="24">
        <v>720</v>
      </c>
      <c r="I136" s="24">
        <v>1324</v>
      </c>
      <c r="J136" s="50">
        <f>P136</f>
        <v>1.8395061728395061</v>
      </c>
      <c r="K136" s="24">
        <v>675</v>
      </c>
      <c r="L136" s="51">
        <f>M136*K136</f>
        <v>1241.6666666666667</v>
      </c>
      <c r="M136" s="52">
        <f>P136</f>
        <v>1.8395061728395061</v>
      </c>
      <c r="N136" s="51">
        <v>810</v>
      </c>
      <c r="O136" s="51">
        <v>1490</v>
      </c>
      <c r="P136" s="52">
        <v>1.8395061728395061</v>
      </c>
      <c r="Q136" s="62">
        <f>N136</f>
        <v>810</v>
      </c>
      <c r="R136" s="83">
        <f t="shared" si="26"/>
        <v>1549.6000000000001</v>
      </c>
      <c r="S136" s="63">
        <f>R136/Q136</f>
        <v>1.9130864197530866</v>
      </c>
      <c r="T136">
        <f>(R136-O136)/O136</f>
        <v>4.0000000000000091E-2</v>
      </c>
      <c r="U136">
        <f t="shared" si="27"/>
        <v>32.999999999999993</v>
      </c>
      <c r="V136">
        <f t="shared" si="28"/>
        <v>33</v>
      </c>
      <c r="W136">
        <f t="shared" si="29"/>
        <v>24.999999999999986</v>
      </c>
      <c r="X136">
        <f t="shared" si="30"/>
        <v>28.999999999999989</v>
      </c>
      <c r="Y136">
        <f t="shared" si="31"/>
        <v>4.0000000000000001E-3</v>
      </c>
      <c r="Z136">
        <f t="shared" si="32"/>
        <v>8.0000000000000071</v>
      </c>
      <c r="AA136">
        <f t="shared" si="33"/>
        <v>4.0000000000000001E-3</v>
      </c>
      <c r="AB136">
        <f t="shared" si="34"/>
        <v>0</v>
      </c>
      <c r="AC136">
        <f t="shared" si="35"/>
        <v>4.0000000000000001E-3</v>
      </c>
      <c r="AD136">
        <f t="shared" si="36"/>
        <v>1.044</v>
      </c>
      <c r="AE136">
        <f t="shared" si="37"/>
        <v>17.835000000000001</v>
      </c>
      <c r="AF136" s="80">
        <f t="shared" si="38"/>
        <v>18.62</v>
      </c>
    </row>
    <row r="137" spans="1:32" s="8" customFormat="1" ht="45">
      <c r="A137" s="3">
        <v>136</v>
      </c>
      <c r="B137" s="48" t="s">
        <v>127</v>
      </c>
      <c r="C137" s="48" t="s">
        <v>147</v>
      </c>
      <c r="D137" s="49">
        <v>10.9</v>
      </c>
      <c r="E137" s="49">
        <v>10.9</v>
      </c>
      <c r="F137" s="49">
        <v>13.95</v>
      </c>
      <c r="G137" s="49">
        <v>11.75</v>
      </c>
      <c r="H137" s="24">
        <v>300</v>
      </c>
      <c r="I137" s="24">
        <v>276</v>
      </c>
      <c r="J137" s="50">
        <f>P137</f>
        <v>0.92222222222222228</v>
      </c>
      <c r="K137" s="24">
        <v>240</v>
      </c>
      <c r="L137" s="51">
        <f>M137*K137</f>
        <v>221.33333333333334</v>
      </c>
      <c r="M137" s="52">
        <f>P137</f>
        <v>0.92222222222222228</v>
      </c>
      <c r="N137" s="51">
        <v>270</v>
      </c>
      <c r="O137" s="51">
        <v>249</v>
      </c>
      <c r="P137" s="52">
        <v>0.92222222222222228</v>
      </c>
      <c r="Q137" s="62">
        <f>N137</f>
        <v>270</v>
      </c>
      <c r="R137" s="83">
        <f t="shared" si="26"/>
        <v>258.96000000000004</v>
      </c>
      <c r="S137" s="63">
        <f>R137/Q137</f>
        <v>0.95911111111111125</v>
      </c>
      <c r="T137">
        <f>(R137-O137)/O137</f>
        <v>4.0000000000000147E-2</v>
      </c>
      <c r="U137">
        <f t="shared" si="27"/>
        <v>78</v>
      </c>
      <c r="V137">
        <f t="shared" si="28"/>
        <v>57.000000000000007</v>
      </c>
      <c r="W137">
        <f t="shared" si="29"/>
        <v>50.000000000000036</v>
      </c>
      <c r="X137">
        <f t="shared" si="30"/>
        <v>57.700000000000024</v>
      </c>
      <c r="Y137">
        <f t="shared" si="31"/>
        <v>5.0000000000000001E-3</v>
      </c>
      <c r="Z137">
        <f t="shared" si="32"/>
        <v>27.999999999999964</v>
      </c>
      <c r="AA137">
        <f t="shared" si="33"/>
        <v>5.0000000000000001E-3</v>
      </c>
      <c r="AB137">
        <f t="shared" si="34"/>
        <v>0</v>
      </c>
      <c r="AC137">
        <f t="shared" si="35"/>
        <v>5.0000000000000001E-3</v>
      </c>
      <c r="AD137">
        <f t="shared" si="36"/>
        <v>1.0449999999999999</v>
      </c>
      <c r="AE137">
        <f t="shared" si="37"/>
        <v>12.239999999999998</v>
      </c>
      <c r="AF137" s="80">
        <f t="shared" si="38"/>
        <v>12.79</v>
      </c>
    </row>
    <row r="138" spans="1:32" s="8" customFormat="1" ht="45">
      <c r="A138" s="3">
        <v>137</v>
      </c>
      <c r="B138" s="48" t="s">
        <v>127</v>
      </c>
      <c r="C138" s="48" t="s">
        <v>148</v>
      </c>
      <c r="D138" s="49">
        <v>13.35</v>
      </c>
      <c r="E138" s="49">
        <v>13.35</v>
      </c>
      <c r="F138" s="49">
        <v>15.05</v>
      </c>
      <c r="G138" s="49">
        <v>15.25</v>
      </c>
      <c r="H138" s="24">
        <v>765</v>
      </c>
      <c r="I138" s="24">
        <v>1494</v>
      </c>
      <c r="J138" s="50">
        <f>P138</f>
        <v>1.9538461538461538</v>
      </c>
      <c r="K138" s="24">
        <v>585</v>
      </c>
      <c r="L138" s="51">
        <f>M138*K138</f>
        <v>1143</v>
      </c>
      <c r="M138" s="52">
        <f>P138</f>
        <v>1.9538461538461538</v>
      </c>
      <c r="N138" s="51">
        <v>585</v>
      </c>
      <c r="O138" s="51">
        <v>1143</v>
      </c>
      <c r="P138" s="52">
        <v>1.9538461538461538</v>
      </c>
      <c r="Q138" s="62">
        <f>N138</f>
        <v>585</v>
      </c>
      <c r="R138" s="83">
        <f t="shared" si="26"/>
        <v>1188.72</v>
      </c>
      <c r="S138" s="63">
        <f>R138/Q138</f>
        <v>2.032</v>
      </c>
      <c r="T138">
        <f>(R138-O138)/O138</f>
        <v>4.0000000000000022E-2</v>
      </c>
      <c r="U138">
        <f t="shared" si="27"/>
        <v>58.000000000000007</v>
      </c>
      <c r="V138">
        <f t="shared" si="28"/>
        <v>49.000000000000007</v>
      </c>
      <c r="W138">
        <f t="shared" si="29"/>
        <v>37.999999999999979</v>
      </c>
      <c r="X138">
        <f t="shared" si="30"/>
        <v>45.29999999999999</v>
      </c>
      <c r="Y138">
        <f t="shared" si="31"/>
        <v>5.0000000000000001E-3</v>
      </c>
      <c r="Z138">
        <f t="shared" si="32"/>
        <v>20.000000000000028</v>
      </c>
      <c r="AA138">
        <f t="shared" si="33"/>
        <v>5.0000000000000001E-3</v>
      </c>
      <c r="AB138">
        <f t="shared" si="34"/>
        <v>0</v>
      </c>
      <c r="AC138">
        <f t="shared" si="35"/>
        <v>5.0000000000000001E-3</v>
      </c>
      <c r="AD138">
        <f t="shared" si="36"/>
        <v>1.0449999999999999</v>
      </c>
      <c r="AE138">
        <f t="shared" si="37"/>
        <v>14.81</v>
      </c>
      <c r="AF138" s="80">
        <f t="shared" si="38"/>
        <v>15.48</v>
      </c>
    </row>
    <row r="139" spans="1:32" s="8" customFormat="1" ht="45">
      <c r="A139" s="3">
        <v>138</v>
      </c>
      <c r="B139" s="48" t="s">
        <v>127</v>
      </c>
      <c r="C139" s="48" t="s">
        <v>149</v>
      </c>
      <c r="D139" s="49">
        <v>12.15</v>
      </c>
      <c r="E139" s="49">
        <v>12.15</v>
      </c>
      <c r="F139" s="49">
        <v>12.75</v>
      </c>
      <c r="G139" s="49">
        <v>12</v>
      </c>
      <c r="H139" s="24">
        <v>210</v>
      </c>
      <c r="I139" s="24">
        <v>250</v>
      </c>
      <c r="J139" s="50">
        <f>P139</f>
        <v>1.1888888888888889</v>
      </c>
      <c r="K139" s="24">
        <v>210</v>
      </c>
      <c r="L139" s="51">
        <f>M139*K139</f>
        <v>249.66666666666666</v>
      </c>
      <c r="M139" s="52">
        <f>P139</f>
        <v>1.1888888888888889</v>
      </c>
      <c r="N139" s="51">
        <v>270</v>
      </c>
      <c r="O139" s="51">
        <v>321</v>
      </c>
      <c r="P139" s="52">
        <v>1.1888888888888889</v>
      </c>
      <c r="Q139" s="62">
        <f>N139</f>
        <v>270</v>
      </c>
      <c r="R139" s="83">
        <f t="shared" si="26"/>
        <v>333.84000000000003</v>
      </c>
      <c r="S139" s="63">
        <f>R139/Q139</f>
        <v>1.2364444444444445</v>
      </c>
      <c r="T139">
        <f>(R139-O139)/O139</f>
        <v>4.0000000000000098E-2</v>
      </c>
      <c r="U139">
        <f t="shared" si="27"/>
        <v>68.000000000000028</v>
      </c>
      <c r="V139">
        <f t="shared" si="28"/>
        <v>64</v>
      </c>
      <c r="W139">
        <f t="shared" si="29"/>
        <v>49.000000000000036</v>
      </c>
      <c r="X139">
        <f t="shared" si="30"/>
        <v>57.300000000000026</v>
      </c>
      <c r="Y139">
        <f t="shared" si="31"/>
        <v>5.0000000000000001E-3</v>
      </c>
      <c r="Z139">
        <f t="shared" si="32"/>
        <v>18.999999999999993</v>
      </c>
      <c r="AA139">
        <f t="shared" si="33"/>
        <v>5.0000000000000001E-3</v>
      </c>
      <c r="AB139">
        <f t="shared" si="34"/>
        <v>0</v>
      </c>
      <c r="AC139">
        <f t="shared" si="35"/>
        <v>5.0000000000000001E-3</v>
      </c>
      <c r="AD139">
        <f t="shared" si="36"/>
        <v>1.0449999999999999</v>
      </c>
      <c r="AE139">
        <f t="shared" si="37"/>
        <v>12.254999999999999</v>
      </c>
      <c r="AF139" s="80">
        <f t="shared" si="38"/>
        <v>12.81</v>
      </c>
    </row>
    <row r="140" spans="1:32" s="8" customFormat="1" ht="45">
      <c r="A140" s="3">
        <v>139</v>
      </c>
      <c r="B140" s="48" t="s">
        <v>127</v>
      </c>
      <c r="C140" s="48" t="s">
        <v>26</v>
      </c>
      <c r="D140" s="49">
        <v>20.2</v>
      </c>
      <c r="E140" s="49">
        <v>20.2</v>
      </c>
      <c r="F140" s="49">
        <v>19.05</v>
      </c>
      <c r="G140" s="49">
        <v>20.25</v>
      </c>
      <c r="H140" s="24">
        <v>670</v>
      </c>
      <c r="I140" s="24">
        <v>1209</v>
      </c>
      <c r="J140" s="50">
        <f>P140</f>
        <v>1.8046783625730993</v>
      </c>
      <c r="K140" s="24">
        <v>675</v>
      </c>
      <c r="L140" s="51">
        <f>M140*K140</f>
        <v>1218.1578947368421</v>
      </c>
      <c r="M140" s="52">
        <f>P140</f>
        <v>1.8046783625730993</v>
      </c>
      <c r="N140" s="51">
        <v>855</v>
      </c>
      <c r="O140" s="51">
        <v>1543</v>
      </c>
      <c r="P140" s="52">
        <v>1.8046783625730993</v>
      </c>
      <c r="Q140" s="62">
        <f>N140</f>
        <v>855</v>
      </c>
      <c r="R140" s="83">
        <f t="shared" si="26"/>
        <v>1604.72</v>
      </c>
      <c r="S140" s="63">
        <f>R140/Q140</f>
        <v>1.8768654970760235</v>
      </c>
      <c r="T140">
        <f>(R140-O140)/O140</f>
        <v>4.0000000000000015E-2</v>
      </c>
      <c r="U140">
        <f t="shared" si="27"/>
        <v>13</v>
      </c>
      <c r="V140">
        <f t="shared" si="28"/>
        <v>19</v>
      </c>
      <c r="W140">
        <f t="shared" si="29"/>
        <v>19</v>
      </c>
      <c r="X140">
        <f t="shared" si="30"/>
        <v>17.8</v>
      </c>
      <c r="Y140">
        <f t="shared" si="31"/>
        <v>3.0000000000000001E-3</v>
      </c>
      <c r="Z140">
        <f t="shared" si="32"/>
        <v>-6</v>
      </c>
      <c r="AA140">
        <f t="shared" si="33"/>
        <v>0</v>
      </c>
      <c r="AB140">
        <f t="shared" si="34"/>
        <v>0</v>
      </c>
      <c r="AC140">
        <f t="shared" si="35"/>
        <v>0</v>
      </c>
      <c r="AD140">
        <f t="shared" si="36"/>
        <v>1.04</v>
      </c>
      <c r="AE140">
        <f t="shared" si="37"/>
        <v>19.88</v>
      </c>
      <c r="AF140" s="80">
        <f t="shared" si="38"/>
        <v>20.68</v>
      </c>
    </row>
    <row r="141" spans="1:32" s="8" customFormat="1" ht="45">
      <c r="A141" s="3">
        <v>140</v>
      </c>
      <c r="B141" s="48" t="s">
        <v>127</v>
      </c>
      <c r="C141" s="48" t="s">
        <v>150</v>
      </c>
      <c r="D141" s="49">
        <v>13.95</v>
      </c>
      <c r="E141" s="49">
        <v>13.95</v>
      </c>
      <c r="F141" s="49">
        <v>14.95</v>
      </c>
      <c r="G141" s="49">
        <v>12</v>
      </c>
      <c r="H141" s="24">
        <v>160</v>
      </c>
      <c r="I141" s="24">
        <v>149</v>
      </c>
      <c r="J141" s="50">
        <f>P141</f>
        <v>0.93333333333333335</v>
      </c>
      <c r="K141" s="24">
        <v>160</v>
      </c>
      <c r="L141" s="51">
        <f>M141*K141</f>
        <v>149.33333333333334</v>
      </c>
      <c r="M141" s="52">
        <f>P141</f>
        <v>0.93333333333333335</v>
      </c>
      <c r="N141" s="51">
        <v>240</v>
      </c>
      <c r="O141" s="51">
        <v>224</v>
      </c>
      <c r="P141" s="52">
        <v>0.93333333333333335</v>
      </c>
      <c r="Q141" s="62">
        <f>N141</f>
        <v>240</v>
      </c>
      <c r="R141" s="83">
        <f t="shared" si="26"/>
        <v>232.96</v>
      </c>
      <c r="S141" s="63">
        <f>R141/Q141</f>
        <v>0.97066666666666668</v>
      </c>
      <c r="T141">
        <f>(R141-O141)/O141</f>
        <v>4.0000000000000036E-2</v>
      </c>
      <c r="U141">
        <f t="shared" si="27"/>
        <v>52.999999999999993</v>
      </c>
      <c r="V141">
        <f t="shared" si="28"/>
        <v>51.000000000000007</v>
      </c>
      <c r="W141">
        <f t="shared" si="29"/>
        <v>49.000000000000036</v>
      </c>
      <c r="X141">
        <f t="shared" si="30"/>
        <v>50.40000000000002</v>
      </c>
      <c r="Y141">
        <f t="shared" si="31"/>
        <v>5.0000000000000001E-3</v>
      </c>
      <c r="Z141">
        <f t="shared" si="32"/>
        <v>3.9999999999999574</v>
      </c>
      <c r="AA141">
        <f t="shared" si="33"/>
        <v>2.5000000000000001E-3</v>
      </c>
      <c r="AB141">
        <f t="shared" si="34"/>
        <v>0</v>
      </c>
      <c r="AC141">
        <f t="shared" si="35"/>
        <v>2.5000000000000001E-3</v>
      </c>
      <c r="AD141">
        <f t="shared" si="36"/>
        <v>1.0425</v>
      </c>
      <c r="AE141">
        <f t="shared" si="37"/>
        <v>13.274999999999999</v>
      </c>
      <c r="AF141" s="80">
        <f t="shared" si="38"/>
        <v>13.84</v>
      </c>
    </row>
    <row r="142" spans="1:32" s="8" customFormat="1" ht="45">
      <c r="A142" s="3">
        <v>141</v>
      </c>
      <c r="B142" s="48" t="s">
        <v>127</v>
      </c>
      <c r="C142" s="48" t="s">
        <v>151</v>
      </c>
      <c r="D142" s="49">
        <v>13.65</v>
      </c>
      <c r="E142" s="49">
        <v>13.65</v>
      </c>
      <c r="F142" s="49">
        <v>13.85</v>
      </c>
      <c r="G142" s="49">
        <v>13.5</v>
      </c>
      <c r="H142" s="24">
        <v>220</v>
      </c>
      <c r="I142" s="24">
        <v>307</v>
      </c>
      <c r="J142" s="50">
        <f>P142</f>
        <v>1.3955555555555557</v>
      </c>
      <c r="K142" s="24">
        <v>220</v>
      </c>
      <c r="L142" s="51">
        <f>M142*K142</f>
        <v>307.02222222222224</v>
      </c>
      <c r="M142" s="52">
        <f>P142</f>
        <v>1.3955555555555557</v>
      </c>
      <c r="N142" s="51">
        <v>225</v>
      </c>
      <c r="O142" s="51">
        <v>314</v>
      </c>
      <c r="P142" s="52">
        <v>1.3955555555555557</v>
      </c>
      <c r="Q142" s="62">
        <f>N142</f>
        <v>225</v>
      </c>
      <c r="R142" s="83">
        <f t="shared" si="26"/>
        <v>326.56</v>
      </c>
      <c r="S142" s="63">
        <f>R142/Q142</f>
        <v>1.4513777777777779</v>
      </c>
      <c r="T142">
        <f>(R142-O142)/O142</f>
        <v>4.0000000000000008E-2</v>
      </c>
      <c r="U142">
        <f t="shared" si="27"/>
        <v>54.999999999999993</v>
      </c>
      <c r="V142">
        <f t="shared" si="28"/>
        <v>58.000000000000007</v>
      </c>
      <c r="W142">
        <f t="shared" si="29"/>
        <v>44.000000000000014</v>
      </c>
      <c r="X142">
        <f t="shared" si="30"/>
        <v>50.400000000000006</v>
      </c>
      <c r="Y142">
        <f t="shared" si="31"/>
        <v>5.0000000000000001E-3</v>
      </c>
      <c r="Z142">
        <f t="shared" si="32"/>
        <v>10.999999999999979</v>
      </c>
      <c r="AA142">
        <f t="shared" si="33"/>
        <v>5.0000000000000001E-3</v>
      </c>
      <c r="AB142">
        <f t="shared" si="34"/>
        <v>0</v>
      </c>
      <c r="AC142">
        <f t="shared" si="35"/>
        <v>5.0000000000000001E-3</v>
      </c>
      <c r="AD142">
        <f t="shared" si="36"/>
        <v>1.0449999999999999</v>
      </c>
      <c r="AE142">
        <f t="shared" si="37"/>
        <v>13.635</v>
      </c>
      <c r="AF142" s="80">
        <f t="shared" si="38"/>
        <v>14.25</v>
      </c>
    </row>
    <row r="143" spans="1:32" s="18" customFormat="1" ht="45">
      <c r="A143" s="3">
        <v>142</v>
      </c>
      <c r="B143" s="14" t="s">
        <v>127</v>
      </c>
      <c r="C143" s="14" t="s">
        <v>152</v>
      </c>
      <c r="D143" s="15">
        <f>G143</f>
        <v>16.5</v>
      </c>
      <c r="E143" s="15">
        <f>D143</f>
        <v>16.5</v>
      </c>
      <c r="F143" s="15">
        <f>E143</f>
        <v>16.5</v>
      </c>
      <c r="G143" s="15">
        <v>16.5</v>
      </c>
      <c r="H143" s="16">
        <f>N143</f>
        <v>720</v>
      </c>
      <c r="I143" s="16">
        <f>H143</f>
        <v>720</v>
      </c>
      <c r="J143" s="17">
        <f>I143/H143</f>
        <v>1</v>
      </c>
      <c r="K143" s="16">
        <f>H143</f>
        <v>720</v>
      </c>
      <c r="L143" s="16">
        <f>K143</f>
        <v>720</v>
      </c>
      <c r="M143" s="17">
        <f>L143/K143</f>
        <v>1</v>
      </c>
      <c r="N143" s="16">
        <v>720</v>
      </c>
      <c r="O143" s="16">
        <f>N143</f>
        <v>720</v>
      </c>
      <c r="P143" s="17">
        <f>O143/N143</f>
        <v>1</v>
      </c>
      <c r="Q143" s="62">
        <f>N143</f>
        <v>720</v>
      </c>
      <c r="R143" s="83">
        <f t="shared" si="26"/>
        <v>748.80000000000007</v>
      </c>
      <c r="S143" s="63">
        <f>R143/Q143</f>
        <v>1.04</v>
      </c>
      <c r="T143">
        <f>(R143-O143)/O143</f>
        <v>4.0000000000000098E-2</v>
      </c>
      <c r="U143">
        <f t="shared" si="27"/>
        <v>36</v>
      </c>
      <c r="V143">
        <f t="shared" si="28"/>
        <v>40</v>
      </c>
      <c r="W143">
        <f t="shared" si="29"/>
        <v>32.999999999999979</v>
      </c>
      <c r="X143">
        <f t="shared" si="30"/>
        <v>35.699999999999989</v>
      </c>
      <c r="Y143">
        <f t="shared" si="31"/>
        <v>5.0000000000000001E-3</v>
      </c>
      <c r="Z143">
        <f t="shared" si="32"/>
        <v>3.0000000000000213</v>
      </c>
      <c r="AA143">
        <f t="shared" si="33"/>
        <v>2.5000000000000001E-3</v>
      </c>
      <c r="AB143">
        <f t="shared" si="34"/>
        <v>0</v>
      </c>
      <c r="AC143">
        <f t="shared" si="35"/>
        <v>2.5000000000000001E-3</v>
      </c>
      <c r="AD143">
        <f t="shared" si="36"/>
        <v>1.0425</v>
      </c>
      <c r="AE143">
        <f t="shared" si="37"/>
        <v>16.5</v>
      </c>
      <c r="AF143" s="80">
        <f t="shared" si="38"/>
        <v>17.2</v>
      </c>
    </row>
    <row r="144" spans="1:32" s="8" customFormat="1" ht="45">
      <c r="A144" s="3">
        <v>143</v>
      </c>
      <c r="B144" s="1" t="s">
        <v>153</v>
      </c>
      <c r="C144" s="1" t="s">
        <v>154</v>
      </c>
      <c r="D144" s="2">
        <v>36.75</v>
      </c>
      <c r="E144" s="2">
        <v>22.05</v>
      </c>
      <c r="F144" s="2">
        <v>21.25</v>
      </c>
      <c r="G144" s="2">
        <v>21.75</v>
      </c>
      <c r="H144" s="5">
        <v>810</v>
      </c>
      <c r="I144" s="5">
        <v>599</v>
      </c>
      <c r="J144" s="6">
        <f>I144/H144</f>
        <v>0.73950617283950615</v>
      </c>
      <c r="K144" s="5">
        <v>720</v>
      </c>
      <c r="L144" s="5">
        <v>486</v>
      </c>
      <c r="M144" s="6">
        <f>L144/K144</f>
        <v>0.67500000000000004</v>
      </c>
      <c r="N144" s="5">
        <v>855</v>
      </c>
      <c r="O144" s="5">
        <v>1539</v>
      </c>
      <c r="P144" s="6">
        <v>1.8</v>
      </c>
      <c r="Q144" s="62">
        <f>N144</f>
        <v>855</v>
      </c>
      <c r="R144" s="83">
        <f t="shared" si="26"/>
        <v>1600.56</v>
      </c>
      <c r="S144" s="63">
        <f>R144/Q144</f>
        <v>1.8719999999999999</v>
      </c>
      <c r="T144">
        <f>(R144-O144)/O144</f>
        <v>3.9999999999999966E-2</v>
      </c>
      <c r="U144">
        <f t="shared" si="27"/>
        <v>7.9999999999999991</v>
      </c>
      <c r="V144">
        <f t="shared" si="28"/>
        <v>11</v>
      </c>
      <c r="W144">
        <f t="shared" si="29"/>
        <v>13.000000000000002</v>
      </c>
      <c r="X144">
        <f t="shared" si="30"/>
        <v>11.4</v>
      </c>
      <c r="Y144">
        <f t="shared" si="31"/>
        <v>3.0000000000000001E-3</v>
      </c>
      <c r="Z144">
        <f t="shared" si="32"/>
        <v>-5.0000000000000027</v>
      </c>
      <c r="AA144">
        <f t="shared" si="33"/>
        <v>0</v>
      </c>
      <c r="AB144">
        <f t="shared" si="34"/>
        <v>9.9999999999999992E-2</v>
      </c>
      <c r="AC144">
        <f t="shared" si="35"/>
        <v>9.9999999999999992E-2</v>
      </c>
      <c r="AD144">
        <f t="shared" si="36"/>
        <v>1.1400000000000001</v>
      </c>
      <c r="AE144">
        <f t="shared" si="37"/>
        <v>21.66</v>
      </c>
      <c r="AF144" s="80">
        <f t="shared" si="38"/>
        <v>24.69</v>
      </c>
    </row>
    <row r="145" spans="1:32" s="8" customFormat="1" ht="45">
      <c r="A145" s="3">
        <v>144</v>
      </c>
      <c r="B145" s="1" t="s">
        <v>153</v>
      </c>
      <c r="C145" s="1" t="s">
        <v>155</v>
      </c>
      <c r="D145" s="2">
        <v>29.75</v>
      </c>
      <c r="E145" s="2">
        <v>17.850000000000001</v>
      </c>
      <c r="F145" s="2">
        <v>9</v>
      </c>
      <c r="G145" s="2">
        <v>18.5</v>
      </c>
      <c r="H145" s="5">
        <v>540</v>
      </c>
      <c r="I145" s="5">
        <v>532</v>
      </c>
      <c r="J145" s="6">
        <f>I145/H145</f>
        <v>0.98518518518518516</v>
      </c>
      <c r="K145" s="5">
        <v>495</v>
      </c>
      <c r="L145" s="5">
        <v>443</v>
      </c>
      <c r="M145" s="6">
        <f>L145/K145</f>
        <v>0.89494949494949494</v>
      </c>
      <c r="N145" s="5">
        <v>540</v>
      </c>
      <c r="O145" s="5">
        <v>774</v>
      </c>
      <c r="P145" s="6">
        <v>1.4333333333333333</v>
      </c>
      <c r="Q145" s="62">
        <f>N145</f>
        <v>540</v>
      </c>
      <c r="R145" s="83">
        <f t="shared" si="26"/>
        <v>804.96</v>
      </c>
      <c r="S145" s="63">
        <f>R145/Q145</f>
        <v>1.4906666666666668</v>
      </c>
      <c r="T145">
        <f>(R145-O145)/O145</f>
        <v>4.0000000000000049E-2</v>
      </c>
      <c r="U145">
        <f t="shared" si="27"/>
        <v>25</v>
      </c>
      <c r="V145">
        <f t="shared" si="28"/>
        <v>78.999999999999972</v>
      </c>
      <c r="W145">
        <f t="shared" si="29"/>
        <v>24.999999999999986</v>
      </c>
      <c r="X145">
        <f t="shared" si="30"/>
        <v>41.199999999999989</v>
      </c>
      <c r="Y145">
        <f t="shared" si="31"/>
        <v>5.0000000000000001E-3</v>
      </c>
      <c r="Z145">
        <f t="shared" si="32"/>
        <v>0</v>
      </c>
      <c r="AA145">
        <f t="shared" si="33"/>
        <v>0</v>
      </c>
      <c r="AB145">
        <f t="shared" si="34"/>
        <v>3.0079006772009032E-2</v>
      </c>
      <c r="AC145">
        <f t="shared" si="35"/>
        <v>3.0079006772009032E-2</v>
      </c>
      <c r="AD145">
        <f t="shared" si="36"/>
        <v>1.070079006772009</v>
      </c>
      <c r="AE145">
        <f t="shared" si="37"/>
        <v>15.52</v>
      </c>
      <c r="AF145" s="80">
        <f t="shared" si="38"/>
        <v>16.61</v>
      </c>
    </row>
    <row r="146" spans="1:32" s="8" customFormat="1" ht="45">
      <c r="A146" s="3">
        <v>145</v>
      </c>
      <c r="B146" s="1" t="s">
        <v>153</v>
      </c>
      <c r="C146" s="1" t="s">
        <v>82</v>
      </c>
      <c r="D146" s="2">
        <v>22.75</v>
      </c>
      <c r="E146" s="2">
        <v>13.65</v>
      </c>
      <c r="F146" s="2">
        <v>7.75</v>
      </c>
      <c r="G146" s="2">
        <v>9</v>
      </c>
      <c r="H146" s="24">
        <v>368</v>
      </c>
      <c r="I146" s="24">
        <v>474</v>
      </c>
      <c r="J146" s="6">
        <f>I146/H146</f>
        <v>1.2880434782608696</v>
      </c>
      <c r="K146" s="24">
        <v>360</v>
      </c>
      <c r="L146" s="24">
        <v>366</v>
      </c>
      <c r="M146" s="6">
        <f>L146/K146</f>
        <v>1.0166666666666666</v>
      </c>
      <c r="N146" s="5">
        <v>450</v>
      </c>
      <c r="O146" s="5">
        <v>481</v>
      </c>
      <c r="P146" s="6">
        <v>1.068888888888889</v>
      </c>
      <c r="Q146" s="62">
        <f>N146</f>
        <v>450</v>
      </c>
      <c r="R146" s="83">
        <f t="shared" si="26"/>
        <v>500.24</v>
      </c>
      <c r="S146" s="63">
        <f>R146/Q146</f>
        <v>1.1116444444444444</v>
      </c>
      <c r="T146">
        <f>(R146-O146)/O146</f>
        <v>4.0000000000000022E-2</v>
      </c>
      <c r="U146">
        <f t="shared" si="27"/>
        <v>54.999999999999993</v>
      </c>
      <c r="V146">
        <f t="shared" si="28"/>
        <v>82.999999999999957</v>
      </c>
      <c r="W146">
        <f t="shared" si="29"/>
        <v>57.000000000000078</v>
      </c>
      <c r="X146">
        <f t="shared" si="30"/>
        <v>64.400000000000034</v>
      </c>
      <c r="Y146">
        <f t="shared" si="31"/>
        <v>5.0000000000000001E-3</v>
      </c>
      <c r="Z146">
        <f t="shared" si="32"/>
        <v>-2.0000000000000853</v>
      </c>
      <c r="AA146">
        <f t="shared" si="33"/>
        <v>0</v>
      </c>
      <c r="AB146">
        <f t="shared" si="34"/>
        <v>2.5683060109289706E-3</v>
      </c>
      <c r="AC146">
        <f t="shared" si="35"/>
        <v>2.5683060109289706E-3</v>
      </c>
      <c r="AD146">
        <f t="shared" si="36"/>
        <v>1.042568306010929</v>
      </c>
      <c r="AE146">
        <f t="shared" si="37"/>
        <v>9.5549999999999997</v>
      </c>
      <c r="AF146" s="80">
        <f t="shared" si="38"/>
        <v>9.9600000000000009</v>
      </c>
    </row>
    <row r="147" spans="1:32" s="8" customFormat="1" ht="45">
      <c r="A147" s="3">
        <v>146</v>
      </c>
      <c r="B147" s="1" t="s">
        <v>153</v>
      </c>
      <c r="C147" s="1" t="s">
        <v>156</v>
      </c>
      <c r="D147" s="2">
        <v>25.25</v>
      </c>
      <c r="E147" s="2">
        <v>15.15</v>
      </c>
      <c r="F147" s="2">
        <v>15.25</v>
      </c>
      <c r="G147" s="2">
        <v>12.25</v>
      </c>
      <c r="H147" s="24">
        <v>360</v>
      </c>
      <c r="I147" s="24">
        <v>365</v>
      </c>
      <c r="J147" s="6">
        <f>I147/H147</f>
        <v>1.0138888888888888</v>
      </c>
      <c r="K147" s="24">
        <v>315</v>
      </c>
      <c r="L147" s="24">
        <v>330</v>
      </c>
      <c r="M147" s="6">
        <f>L147/K147</f>
        <v>1.0476190476190477</v>
      </c>
      <c r="N147" s="5">
        <v>450</v>
      </c>
      <c r="O147" s="5">
        <v>539</v>
      </c>
      <c r="P147" s="6">
        <v>1.1977777777777778</v>
      </c>
      <c r="Q147" s="62">
        <f>N147</f>
        <v>450</v>
      </c>
      <c r="R147" s="83">
        <f t="shared" si="26"/>
        <v>560.56000000000006</v>
      </c>
      <c r="S147" s="63">
        <f>R147/Q147</f>
        <v>1.2456888888888891</v>
      </c>
      <c r="T147">
        <f>(R147-O147)/O147</f>
        <v>4.0000000000000112E-2</v>
      </c>
      <c r="U147">
        <f t="shared" si="27"/>
        <v>45.000000000000007</v>
      </c>
      <c r="V147">
        <f t="shared" si="28"/>
        <v>48.000000000000007</v>
      </c>
      <c r="W147">
        <f t="shared" si="29"/>
        <v>48.000000000000036</v>
      </c>
      <c r="X147">
        <f t="shared" si="30"/>
        <v>47.40000000000002</v>
      </c>
      <c r="Y147">
        <f t="shared" si="31"/>
        <v>5.0000000000000001E-3</v>
      </c>
      <c r="Z147">
        <f t="shared" si="32"/>
        <v>-3.0000000000000284</v>
      </c>
      <c r="AA147">
        <f t="shared" si="33"/>
        <v>0</v>
      </c>
      <c r="AB147">
        <f t="shared" si="34"/>
        <v>7.1666666666666658E-3</v>
      </c>
      <c r="AC147">
        <f t="shared" si="35"/>
        <v>7.1666666666666658E-3</v>
      </c>
      <c r="AD147">
        <f t="shared" si="36"/>
        <v>1.0471666666666668</v>
      </c>
      <c r="AE147">
        <f t="shared" si="37"/>
        <v>13.73</v>
      </c>
      <c r="AF147" s="80">
        <f t="shared" si="38"/>
        <v>14.38</v>
      </c>
    </row>
    <row r="148" spans="1:32" s="8" customFormat="1" ht="45">
      <c r="A148" s="3">
        <v>147</v>
      </c>
      <c r="B148" s="1" t="s">
        <v>153</v>
      </c>
      <c r="C148" s="1" t="s">
        <v>157</v>
      </c>
      <c r="D148" s="2">
        <v>27.75</v>
      </c>
      <c r="E148" s="2">
        <v>16.649999999999999</v>
      </c>
      <c r="F148" s="2">
        <v>6.5</v>
      </c>
      <c r="G148" s="2">
        <v>11.5</v>
      </c>
      <c r="H148" s="24">
        <v>810</v>
      </c>
      <c r="I148" s="24">
        <v>993</v>
      </c>
      <c r="J148" s="6">
        <f>I148/H148</f>
        <v>1.2259259259259259</v>
      </c>
      <c r="K148" s="24">
        <v>921</v>
      </c>
      <c r="L148" s="24">
        <v>882</v>
      </c>
      <c r="M148" s="6">
        <f>L148/K148</f>
        <v>0.95765472312703581</v>
      </c>
      <c r="N148" s="5">
        <v>900</v>
      </c>
      <c r="O148" s="5">
        <v>1665</v>
      </c>
      <c r="P148" s="6">
        <v>1.85</v>
      </c>
      <c r="Q148" s="62">
        <f>N148</f>
        <v>900</v>
      </c>
      <c r="R148" s="83">
        <f t="shared" si="26"/>
        <v>1731.6000000000001</v>
      </c>
      <c r="S148" s="63">
        <f>R148/Q148</f>
        <v>1.9240000000000002</v>
      </c>
      <c r="T148">
        <f>(R148-O148)/O148</f>
        <v>4.0000000000000084E-2</v>
      </c>
      <c r="U148">
        <f t="shared" si="27"/>
        <v>34.999999999999993</v>
      </c>
      <c r="V148">
        <f t="shared" si="28"/>
        <v>83.999999999999957</v>
      </c>
      <c r="W148">
        <f t="shared" si="29"/>
        <v>51.000000000000043</v>
      </c>
      <c r="X148">
        <f t="shared" si="30"/>
        <v>57.7</v>
      </c>
      <c r="Y148">
        <f t="shared" si="31"/>
        <v>5.0000000000000001E-3</v>
      </c>
      <c r="Z148">
        <f t="shared" si="32"/>
        <v>-16.00000000000005</v>
      </c>
      <c r="AA148">
        <f t="shared" si="33"/>
        <v>0</v>
      </c>
      <c r="AB148">
        <f t="shared" si="34"/>
        <v>4.6590136054421777E-2</v>
      </c>
      <c r="AC148">
        <f t="shared" si="35"/>
        <v>4.6590136054421777E-2</v>
      </c>
      <c r="AD148">
        <f t="shared" si="36"/>
        <v>1.0865901360544219</v>
      </c>
      <c r="AE148">
        <f t="shared" si="37"/>
        <v>11.030000000000001</v>
      </c>
      <c r="AF148" s="80">
        <f t="shared" si="38"/>
        <v>11.99</v>
      </c>
    </row>
    <row r="149" spans="1:32" s="8" customFormat="1" ht="45">
      <c r="A149" s="3">
        <v>148</v>
      </c>
      <c r="B149" s="1" t="s">
        <v>153</v>
      </c>
      <c r="C149" s="1" t="s">
        <v>76</v>
      </c>
      <c r="D149" s="2">
        <v>20.75</v>
      </c>
      <c r="E149" s="2">
        <v>12.45</v>
      </c>
      <c r="F149" s="2">
        <v>10.5</v>
      </c>
      <c r="G149" s="2">
        <v>11.5</v>
      </c>
      <c r="H149" s="24">
        <v>690</v>
      </c>
      <c r="I149" s="24">
        <v>789</v>
      </c>
      <c r="J149" s="6">
        <f>I149/H149</f>
        <v>1.1434782608695653</v>
      </c>
      <c r="K149" s="24">
        <v>585</v>
      </c>
      <c r="L149" s="24">
        <v>682</v>
      </c>
      <c r="M149" s="6">
        <f>L149/K149</f>
        <v>1.1658119658119659</v>
      </c>
      <c r="N149" s="5">
        <v>585</v>
      </c>
      <c r="O149" s="5">
        <v>768</v>
      </c>
      <c r="P149" s="6">
        <v>1.3128205128205128</v>
      </c>
      <c r="Q149" s="62">
        <f>N149</f>
        <v>585</v>
      </c>
      <c r="R149" s="83">
        <f t="shared" si="26"/>
        <v>798.72</v>
      </c>
      <c r="S149" s="63">
        <f>R149/Q149</f>
        <v>1.3653333333333333</v>
      </c>
      <c r="T149">
        <f>(R149-O149)/O149</f>
        <v>4.0000000000000036E-2</v>
      </c>
      <c r="U149">
        <f t="shared" si="27"/>
        <v>65.000000000000028</v>
      </c>
      <c r="V149">
        <f t="shared" si="28"/>
        <v>73.999999999999986</v>
      </c>
      <c r="W149">
        <f t="shared" si="29"/>
        <v>51.000000000000043</v>
      </c>
      <c r="X149">
        <f t="shared" si="30"/>
        <v>60.700000000000024</v>
      </c>
      <c r="Y149">
        <f t="shared" si="31"/>
        <v>5.0000000000000001E-3</v>
      </c>
      <c r="Z149">
        <f t="shared" si="32"/>
        <v>13.999999999999986</v>
      </c>
      <c r="AA149">
        <f t="shared" si="33"/>
        <v>5.0000000000000001E-3</v>
      </c>
      <c r="AB149">
        <f t="shared" si="34"/>
        <v>6.3049853372433981E-3</v>
      </c>
      <c r="AC149">
        <f t="shared" si="35"/>
        <v>1.1304985337243398E-2</v>
      </c>
      <c r="AD149">
        <f t="shared" si="36"/>
        <v>1.0513049853372434</v>
      </c>
      <c r="AE149">
        <f t="shared" si="37"/>
        <v>11.39</v>
      </c>
      <c r="AF149" s="80">
        <f t="shared" si="38"/>
        <v>11.97</v>
      </c>
    </row>
    <row r="150" spans="1:32" s="8" customFormat="1" ht="45">
      <c r="A150" s="3">
        <v>149</v>
      </c>
      <c r="B150" s="1" t="s">
        <v>153</v>
      </c>
      <c r="C150" s="1" t="s">
        <v>158</v>
      </c>
      <c r="D150" s="2">
        <v>22</v>
      </c>
      <c r="E150" s="2">
        <v>13.2</v>
      </c>
      <c r="F150" s="2">
        <v>10</v>
      </c>
      <c r="G150" s="2">
        <v>9</v>
      </c>
      <c r="H150" s="24">
        <v>675</v>
      </c>
      <c r="I150" s="24">
        <v>772</v>
      </c>
      <c r="J150" s="6">
        <f>I150/H150</f>
        <v>1.1437037037037037</v>
      </c>
      <c r="K150" s="24">
        <v>585</v>
      </c>
      <c r="L150" s="24">
        <v>678</v>
      </c>
      <c r="M150" s="6">
        <f>L150/K150</f>
        <v>1.1589743589743591</v>
      </c>
      <c r="N150" s="5">
        <v>630</v>
      </c>
      <c r="O150" s="5">
        <v>671</v>
      </c>
      <c r="P150" s="6">
        <v>1.0650793650793651</v>
      </c>
      <c r="Q150" s="62">
        <f>N150</f>
        <v>630</v>
      </c>
      <c r="R150" s="83">
        <f t="shared" si="26"/>
        <v>697.84</v>
      </c>
      <c r="S150" s="63">
        <f>R150/Q150</f>
        <v>1.1076825396825398</v>
      </c>
      <c r="T150">
        <f>(R150-O150)/O150</f>
        <v>4.0000000000000049E-2</v>
      </c>
      <c r="U150">
        <f t="shared" si="27"/>
        <v>59.000000000000014</v>
      </c>
      <c r="V150">
        <f t="shared" si="28"/>
        <v>75.999999999999986</v>
      </c>
      <c r="W150">
        <f t="shared" si="29"/>
        <v>57.000000000000078</v>
      </c>
      <c r="X150">
        <f t="shared" si="30"/>
        <v>63.100000000000037</v>
      </c>
      <c r="Y150">
        <f t="shared" si="31"/>
        <v>5.0000000000000001E-3</v>
      </c>
      <c r="Z150">
        <f t="shared" si="32"/>
        <v>1.9999999999999361</v>
      </c>
      <c r="AA150">
        <f t="shared" si="33"/>
        <v>0</v>
      </c>
      <c r="AB150">
        <f t="shared" si="34"/>
        <v>-4.0507796038769537E-3</v>
      </c>
      <c r="AC150">
        <f t="shared" si="35"/>
        <v>-4.0507796038769537E-3</v>
      </c>
      <c r="AD150">
        <f t="shared" si="36"/>
        <v>1.0359492203961231</v>
      </c>
      <c r="AE150">
        <f t="shared" si="37"/>
        <v>10.14</v>
      </c>
      <c r="AF150" s="80">
        <f t="shared" si="38"/>
        <v>10.5</v>
      </c>
    </row>
    <row r="151" spans="1:32" s="8" customFormat="1" ht="45">
      <c r="A151" s="3">
        <v>150</v>
      </c>
      <c r="B151" s="1" t="s">
        <v>153</v>
      </c>
      <c r="C151" s="1" t="s">
        <v>159</v>
      </c>
      <c r="D151" s="2">
        <v>22.75</v>
      </c>
      <c r="E151" s="2">
        <v>13.65</v>
      </c>
      <c r="F151" s="2">
        <v>8</v>
      </c>
      <c r="G151" s="2">
        <v>10.75</v>
      </c>
      <c r="H151" s="24">
        <v>396</v>
      </c>
      <c r="I151" s="24">
        <v>495</v>
      </c>
      <c r="J151" s="6">
        <f>I151/H151</f>
        <v>1.25</v>
      </c>
      <c r="K151" s="24">
        <v>410</v>
      </c>
      <c r="L151" s="24">
        <v>390</v>
      </c>
      <c r="M151" s="6">
        <f>L151/K151</f>
        <v>0.95121951219512191</v>
      </c>
      <c r="N151" s="5">
        <v>450</v>
      </c>
      <c r="O151" s="5">
        <v>549</v>
      </c>
      <c r="P151" s="6">
        <v>1.22</v>
      </c>
      <c r="Q151" s="62">
        <f>N151</f>
        <v>450</v>
      </c>
      <c r="R151" s="83">
        <f t="shared" si="26"/>
        <v>570.96</v>
      </c>
      <c r="S151" s="63">
        <f>R151/Q151</f>
        <v>1.2688000000000001</v>
      </c>
      <c r="T151">
        <f>(R151-O151)/O151</f>
        <v>4.0000000000000063E-2</v>
      </c>
      <c r="U151">
        <f t="shared" si="27"/>
        <v>54.999999999999993</v>
      </c>
      <c r="V151">
        <f t="shared" si="28"/>
        <v>81.999999999999957</v>
      </c>
      <c r="W151">
        <f t="shared" si="29"/>
        <v>53.000000000000057</v>
      </c>
      <c r="X151">
        <f t="shared" si="30"/>
        <v>62.100000000000016</v>
      </c>
      <c r="Y151">
        <f t="shared" si="31"/>
        <v>5.0000000000000001E-3</v>
      </c>
      <c r="Z151">
        <f t="shared" si="32"/>
        <v>1.9999999999999361</v>
      </c>
      <c r="AA151">
        <f t="shared" si="33"/>
        <v>0</v>
      </c>
      <c r="AB151">
        <f t="shared" si="34"/>
        <v>1.412820512820513E-2</v>
      </c>
      <c r="AC151">
        <f t="shared" si="35"/>
        <v>1.412820512820513E-2</v>
      </c>
      <c r="AD151">
        <f t="shared" si="36"/>
        <v>1.0541282051282053</v>
      </c>
      <c r="AE151">
        <f t="shared" si="37"/>
        <v>10.505000000000001</v>
      </c>
      <c r="AF151" s="80">
        <f t="shared" si="38"/>
        <v>11.07</v>
      </c>
    </row>
    <row r="152" spans="1:32" s="8" customFormat="1" ht="45">
      <c r="A152" s="3">
        <v>151</v>
      </c>
      <c r="B152" s="1" t="s">
        <v>153</v>
      </c>
      <c r="C152" s="1" t="s">
        <v>69</v>
      </c>
      <c r="D152" s="2">
        <v>22.25</v>
      </c>
      <c r="E152" s="2">
        <v>13.35</v>
      </c>
      <c r="F152" s="2">
        <v>11.75</v>
      </c>
      <c r="G152" s="2">
        <v>11</v>
      </c>
      <c r="H152" s="24">
        <v>440</v>
      </c>
      <c r="I152" s="24">
        <v>508</v>
      </c>
      <c r="J152" s="6">
        <f>I152/H152</f>
        <v>1.1545454545454545</v>
      </c>
      <c r="K152" s="24">
        <v>410</v>
      </c>
      <c r="L152" s="24">
        <v>449</v>
      </c>
      <c r="M152" s="6">
        <f>L152/K152</f>
        <v>1.0951219512195123</v>
      </c>
      <c r="N152" s="5">
        <v>495</v>
      </c>
      <c r="O152" s="5">
        <v>613</v>
      </c>
      <c r="P152" s="6">
        <v>1.2383838383838384</v>
      </c>
      <c r="Q152" s="62">
        <f>N152</f>
        <v>495</v>
      </c>
      <c r="R152" s="83">
        <f t="shared" si="26"/>
        <v>637.52</v>
      </c>
      <c r="S152" s="63">
        <f>R152/Q152</f>
        <v>1.2879191919191919</v>
      </c>
      <c r="T152">
        <f>(R152-O152)/O152</f>
        <v>3.9999999999999973E-2</v>
      </c>
      <c r="U152">
        <f t="shared" si="27"/>
        <v>58.000000000000007</v>
      </c>
      <c r="V152">
        <f t="shared" si="28"/>
        <v>68.999999999999986</v>
      </c>
      <c r="W152">
        <f t="shared" si="29"/>
        <v>52.000000000000057</v>
      </c>
      <c r="X152">
        <f t="shared" si="30"/>
        <v>58.300000000000026</v>
      </c>
      <c r="Y152">
        <f t="shared" si="31"/>
        <v>5.0000000000000001E-3</v>
      </c>
      <c r="Z152">
        <f t="shared" si="32"/>
        <v>5.9999999999999503</v>
      </c>
      <c r="AA152">
        <f t="shared" si="33"/>
        <v>5.0000000000000001E-3</v>
      </c>
      <c r="AB152">
        <f t="shared" si="34"/>
        <v>6.5409102157431738E-3</v>
      </c>
      <c r="AC152">
        <f t="shared" si="35"/>
        <v>1.1540910215743175E-2</v>
      </c>
      <c r="AD152">
        <f t="shared" si="36"/>
        <v>1.0515409102157431</v>
      </c>
      <c r="AE152">
        <f t="shared" si="37"/>
        <v>11.695</v>
      </c>
      <c r="AF152" s="80">
        <f t="shared" si="38"/>
        <v>12.3</v>
      </c>
    </row>
    <row r="153" spans="1:32" s="8" customFormat="1" ht="45">
      <c r="A153" s="3">
        <v>152</v>
      </c>
      <c r="B153" s="1" t="s">
        <v>153</v>
      </c>
      <c r="C153" s="1" t="s">
        <v>160</v>
      </c>
      <c r="D153" s="2">
        <v>21.75</v>
      </c>
      <c r="E153" s="2">
        <v>13.05</v>
      </c>
      <c r="F153" s="2">
        <v>10.25</v>
      </c>
      <c r="G153" s="2">
        <v>10.25</v>
      </c>
      <c r="H153" s="24">
        <v>315</v>
      </c>
      <c r="I153" s="24">
        <v>360</v>
      </c>
      <c r="J153" s="6">
        <f>I153/H153</f>
        <v>1.1428571428571428</v>
      </c>
      <c r="K153" s="24">
        <v>300</v>
      </c>
      <c r="L153" s="24">
        <v>345</v>
      </c>
      <c r="M153" s="6">
        <f>L153/K153</f>
        <v>1.1499999999999999</v>
      </c>
      <c r="N153" s="5">
        <v>405</v>
      </c>
      <c r="O153" s="5">
        <v>522</v>
      </c>
      <c r="P153" s="6">
        <v>1.288888888888889</v>
      </c>
      <c r="Q153" s="62">
        <f>N153</f>
        <v>405</v>
      </c>
      <c r="R153" s="83">
        <f t="shared" si="26"/>
        <v>542.88</v>
      </c>
      <c r="S153" s="63">
        <f>R153/Q153</f>
        <v>1.3404444444444443</v>
      </c>
      <c r="T153">
        <f>(R153-O153)/O153</f>
        <v>3.9999999999999994E-2</v>
      </c>
      <c r="U153">
        <f t="shared" si="27"/>
        <v>60.000000000000014</v>
      </c>
      <c r="V153">
        <f t="shared" si="28"/>
        <v>74.999999999999986</v>
      </c>
      <c r="W153">
        <f t="shared" si="29"/>
        <v>55.000000000000071</v>
      </c>
      <c r="X153">
        <f t="shared" si="30"/>
        <v>62.000000000000028</v>
      </c>
      <c r="Y153">
        <f t="shared" si="31"/>
        <v>5.0000000000000001E-3</v>
      </c>
      <c r="Z153">
        <f t="shared" si="32"/>
        <v>4.9999999999999432</v>
      </c>
      <c r="AA153">
        <f t="shared" si="33"/>
        <v>2.5000000000000001E-3</v>
      </c>
      <c r="AB153">
        <f t="shared" si="34"/>
        <v>6.0386473429951777E-3</v>
      </c>
      <c r="AC153">
        <f t="shared" si="35"/>
        <v>8.5386473429951773E-3</v>
      </c>
      <c r="AD153">
        <f t="shared" si="36"/>
        <v>1.0485386473429952</v>
      </c>
      <c r="AE153">
        <f t="shared" si="37"/>
        <v>10.809999999999999</v>
      </c>
      <c r="AF153" s="80">
        <f t="shared" si="38"/>
        <v>11.33</v>
      </c>
    </row>
    <row r="154" spans="1:32" s="8" customFormat="1" ht="45">
      <c r="A154" s="3">
        <v>153</v>
      </c>
      <c r="B154" s="1" t="s">
        <v>153</v>
      </c>
      <c r="C154" s="1" t="s">
        <v>161</v>
      </c>
      <c r="D154" s="2">
        <v>22.25</v>
      </c>
      <c r="E154" s="2">
        <v>13.35</v>
      </c>
      <c r="F154" s="2">
        <v>11</v>
      </c>
      <c r="G154" s="2">
        <v>10.25</v>
      </c>
      <c r="H154" s="24">
        <v>495</v>
      </c>
      <c r="I154" s="24">
        <v>678</v>
      </c>
      <c r="J154" s="6">
        <f>I154/H154</f>
        <v>1.3696969696969696</v>
      </c>
      <c r="K154" s="24">
        <v>430</v>
      </c>
      <c r="L154" s="24">
        <v>581</v>
      </c>
      <c r="M154" s="6">
        <f>L154/K154</f>
        <v>1.3511627906976744</v>
      </c>
      <c r="N154" s="5">
        <v>585</v>
      </c>
      <c r="O154" s="5">
        <v>469</v>
      </c>
      <c r="P154" s="6">
        <v>0.80170940170940175</v>
      </c>
      <c r="Q154" s="62">
        <f>N154</f>
        <v>585</v>
      </c>
      <c r="R154" s="83">
        <f t="shared" si="26"/>
        <v>487.76</v>
      </c>
      <c r="S154" s="63">
        <f>R154/Q154</f>
        <v>0.83377777777777773</v>
      </c>
      <c r="T154">
        <f>(R154-O154)/O154</f>
        <v>3.999999999999998E-2</v>
      </c>
      <c r="U154">
        <f t="shared" si="27"/>
        <v>58.000000000000007</v>
      </c>
      <c r="V154">
        <f t="shared" si="28"/>
        <v>71.999999999999986</v>
      </c>
      <c r="W154">
        <f t="shared" si="29"/>
        <v>55.000000000000071</v>
      </c>
      <c r="X154">
        <f t="shared" si="30"/>
        <v>60.700000000000031</v>
      </c>
      <c r="Y154">
        <f t="shared" si="31"/>
        <v>5.0000000000000001E-3</v>
      </c>
      <c r="Z154">
        <f t="shared" si="32"/>
        <v>2.9999999999999361</v>
      </c>
      <c r="AA154">
        <f t="shared" si="33"/>
        <v>2.5000000000000001E-3</v>
      </c>
      <c r="AB154">
        <f t="shared" si="34"/>
        <v>-2.0332612501287199E-2</v>
      </c>
      <c r="AC154">
        <f t="shared" si="35"/>
        <v>-1.78326125012872E-2</v>
      </c>
      <c r="AD154">
        <f t="shared" si="36"/>
        <v>1.0221673874987129</v>
      </c>
      <c r="AE154">
        <f t="shared" si="37"/>
        <v>11.095000000000001</v>
      </c>
      <c r="AF154" s="80">
        <f t="shared" si="38"/>
        <v>11.34</v>
      </c>
    </row>
    <row r="155" spans="1:32" s="8" customFormat="1" ht="45">
      <c r="A155" s="3">
        <v>154</v>
      </c>
      <c r="B155" s="1" t="s">
        <v>153</v>
      </c>
      <c r="C155" s="1" t="s">
        <v>30</v>
      </c>
      <c r="D155" s="2">
        <v>22.75</v>
      </c>
      <c r="E155" s="2">
        <v>13.65</v>
      </c>
      <c r="F155" s="2">
        <v>9.25</v>
      </c>
      <c r="G155" s="2">
        <v>10</v>
      </c>
      <c r="H155" s="24">
        <v>360</v>
      </c>
      <c r="I155" s="24">
        <v>417</v>
      </c>
      <c r="J155" s="6">
        <f>I155/H155</f>
        <v>1.1583333333333334</v>
      </c>
      <c r="K155" s="24">
        <v>320</v>
      </c>
      <c r="L155" s="24">
        <v>336</v>
      </c>
      <c r="M155" s="6">
        <f>L155/K155</f>
        <v>1.05</v>
      </c>
      <c r="N155" s="5">
        <v>405</v>
      </c>
      <c r="O155" s="5">
        <v>427</v>
      </c>
      <c r="P155" s="6">
        <v>1.0543209876543209</v>
      </c>
      <c r="Q155" s="62">
        <f>N155</f>
        <v>405</v>
      </c>
      <c r="R155" s="83">
        <f t="shared" si="26"/>
        <v>444.08000000000004</v>
      </c>
      <c r="S155" s="63">
        <f>R155/Q155</f>
        <v>1.096493827160494</v>
      </c>
      <c r="T155">
        <f>(R155-O155)/O155</f>
        <v>4.0000000000000098E-2</v>
      </c>
      <c r="U155">
        <f t="shared" si="27"/>
        <v>54.999999999999993</v>
      </c>
      <c r="V155">
        <f t="shared" si="28"/>
        <v>77.999999999999972</v>
      </c>
      <c r="W155">
        <f t="shared" si="29"/>
        <v>56.000000000000078</v>
      </c>
      <c r="X155">
        <f t="shared" si="30"/>
        <v>62.400000000000034</v>
      </c>
      <c r="Y155">
        <f t="shared" si="31"/>
        <v>5.0000000000000001E-3</v>
      </c>
      <c r="Z155">
        <f t="shared" si="32"/>
        <v>-1.0000000000000853</v>
      </c>
      <c r="AA155">
        <f t="shared" si="33"/>
        <v>0</v>
      </c>
      <c r="AB155">
        <f t="shared" si="34"/>
        <v>2.0576131687242256E-4</v>
      </c>
      <c r="AC155">
        <f t="shared" si="35"/>
        <v>2.0576131687242256E-4</v>
      </c>
      <c r="AD155">
        <f t="shared" si="36"/>
        <v>1.0402057613168725</v>
      </c>
      <c r="AE155">
        <f t="shared" si="37"/>
        <v>10.505000000000001</v>
      </c>
      <c r="AF155" s="80">
        <f t="shared" si="38"/>
        <v>10.93</v>
      </c>
    </row>
    <row r="156" spans="1:32" s="8" customFormat="1" ht="45">
      <c r="A156" s="3">
        <v>155</v>
      </c>
      <c r="B156" s="1" t="s">
        <v>153</v>
      </c>
      <c r="C156" s="1" t="s">
        <v>162</v>
      </c>
      <c r="D156" s="2">
        <v>22.5</v>
      </c>
      <c r="E156" s="2">
        <v>13.5</v>
      </c>
      <c r="F156" s="2">
        <v>9.5</v>
      </c>
      <c r="G156" s="2">
        <v>9</v>
      </c>
      <c r="H156" s="24">
        <v>315</v>
      </c>
      <c r="I156" s="24">
        <v>444</v>
      </c>
      <c r="J156" s="6">
        <f>I156/H156</f>
        <v>1.4095238095238096</v>
      </c>
      <c r="K156" s="24">
        <v>300</v>
      </c>
      <c r="L156" s="24">
        <v>367</v>
      </c>
      <c r="M156" s="6">
        <f>L156/K156</f>
        <v>1.2233333333333334</v>
      </c>
      <c r="N156" s="5">
        <v>450</v>
      </c>
      <c r="O156" s="5">
        <v>428</v>
      </c>
      <c r="P156" s="6">
        <v>0.95111111111111113</v>
      </c>
      <c r="Q156" s="62">
        <f>N156</f>
        <v>450</v>
      </c>
      <c r="R156" s="83">
        <f t="shared" si="26"/>
        <v>445.12</v>
      </c>
      <c r="S156" s="63">
        <f>R156/Q156</f>
        <v>0.98915555555555557</v>
      </c>
      <c r="T156">
        <f>(R156-O156)/O156</f>
        <v>4.0000000000000008E-2</v>
      </c>
      <c r="U156">
        <f t="shared" si="27"/>
        <v>56.000000000000007</v>
      </c>
      <c r="V156">
        <f t="shared" si="28"/>
        <v>76.999999999999986</v>
      </c>
      <c r="W156">
        <f t="shared" si="29"/>
        <v>57.000000000000078</v>
      </c>
      <c r="X156">
        <f t="shared" si="30"/>
        <v>62.80000000000004</v>
      </c>
      <c r="Y156">
        <f t="shared" si="31"/>
        <v>5.0000000000000001E-3</v>
      </c>
      <c r="Z156">
        <f t="shared" si="32"/>
        <v>-1.0000000000000711</v>
      </c>
      <c r="AA156">
        <f t="shared" si="33"/>
        <v>0</v>
      </c>
      <c r="AB156">
        <f t="shared" si="34"/>
        <v>-1.1126248864668484E-2</v>
      </c>
      <c r="AC156">
        <f t="shared" si="35"/>
        <v>-1.1126248864668484E-2</v>
      </c>
      <c r="AD156">
        <f t="shared" si="36"/>
        <v>1.0288737511353316</v>
      </c>
      <c r="AE156">
        <f t="shared" si="37"/>
        <v>10.050000000000001</v>
      </c>
      <c r="AF156" s="80">
        <f t="shared" si="38"/>
        <v>10.34</v>
      </c>
    </row>
    <row r="157" spans="1:32" s="8" customFormat="1" ht="45">
      <c r="A157" s="3">
        <v>156</v>
      </c>
      <c r="B157" s="1" t="s">
        <v>153</v>
      </c>
      <c r="C157" s="1" t="s">
        <v>163</v>
      </c>
      <c r="D157" s="2">
        <v>19.5</v>
      </c>
      <c r="E157" s="2">
        <v>11.7</v>
      </c>
      <c r="F157" s="2">
        <v>12.5</v>
      </c>
      <c r="G157" s="2">
        <v>10.5</v>
      </c>
      <c r="H157" s="24">
        <v>360</v>
      </c>
      <c r="I157" s="24">
        <v>364</v>
      </c>
      <c r="J157" s="6">
        <f>I157/H157</f>
        <v>1.0111111111111111</v>
      </c>
      <c r="K157" s="24">
        <v>342</v>
      </c>
      <c r="L157" s="24">
        <v>369</v>
      </c>
      <c r="M157" s="6">
        <f>L157/K157</f>
        <v>1.0789473684210527</v>
      </c>
      <c r="N157" s="5">
        <v>495</v>
      </c>
      <c r="O157" s="5">
        <v>585</v>
      </c>
      <c r="P157" s="6">
        <v>1.1818181818181819</v>
      </c>
      <c r="Q157" s="62">
        <f>N157</f>
        <v>495</v>
      </c>
      <c r="R157" s="83">
        <f t="shared" si="26"/>
        <v>608.4</v>
      </c>
      <c r="S157" s="63">
        <f>R157/Q157</f>
        <v>1.229090909090909</v>
      </c>
      <c r="T157">
        <f>(R157-O157)/O157</f>
        <v>3.9999999999999959E-2</v>
      </c>
      <c r="U157">
        <f t="shared" si="27"/>
        <v>72.000000000000014</v>
      </c>
      <c r="V157">
        <f t="shared" si="28"/>
        <v>65</v>
      </c>
      <c r="W157">
        <f t="shared" si="29"/>
        <v>54.000000000000064</v>
      </c>
      <c r="X157">
        <f t="shared" si="30"/>
        <v>60.900000000000034</v>
      </c>
      <c r="Y157">
        <f t="shared" si="31"/>
        <v>5.0000000000000001E-3</v>
      </c>
      <c r="Z157">
        <f t="shared" si="32"/>
        <v>17.99999999999995</v>
      </c>
      <c r="AA157">
        <f t="shared" si="33"/>
        <v>5.0000000000000001E-3</v>
      </c>
      <c r="AB157">
        <f t="shared" si="34"/>
        <v>4.7671840354767204E-3</v>
      </c>
      <c r="AC157">
        <f t="shared" si="35"/>
        <v>9.7671840354767205E-3</v>
      </c>
      <c r="AD157">
        <f t="shared" si="36"/>
        <v>1.0497671840354768</v>
      </c>
      <c r="AE157">
        <f t="shared" si="37"/>
        <v>11.34</v>
      </c>
      <c r="AF157" s="80">
        <f t="shared" si="38"/>
        <v>11.9</v>
      </c>
    </row>
    <row r="158" spans="1:32" s="8" customFormat="1" ht="45">
      <c r="A158" s="3">
        <v>157</v>
      </c>
      <c r="B158" s="1" t="s">
        <v>153</v>
      </c>
      <c r="C158" s="1" t="s">
        <v>112</v>
      </c>
      <c r="D158" s="2">
        <v>20.75</v>
      </c>
      <c r="E158" s="2">
        <v>12.45</v>
      </c>
      <c r="F158" s="2">
        <v>8.25</v>
      </c>
      <c r="G158" s="2">
        <v>9</v>
      </c>
      <c r="H158" s="24">
        <v>315</v>
      </c>
      <c r="I158" s="24">
        <v>421</v>
      </c>
      <c r="J158" s="6">
        <f>I158/H158</f>
        <v>1.3365079365079364</v>
      </c>
      <c r="K158" s="24">
        <v>308</v>
      </c>
      <c r="L158" s="24">
        <v>332</v>
      </c>
      <c r="M158" s="6">
        <f>L158/K158</f>
        <v>1.0779220779220779</v>
      </c>
      <c r="N158" s="5">
        <v>405</v>
      </c>
      <c r="O158" s="5">
        <v>337</v>
      </c>
      <c r="P158" s="6">
        <v>0.83209876543209882</v>
      </c>
      <c r="Q158" s="62">
        <f>N158</f>
        <v>405</v>
      </c>
      <c r="R158" s="83">
        <f t="shared" si="26"/>
        <v>350.48</v>
      </c>
      <c r="S158" s="63">
        <f>R158/Q158</f>
        <v>0.86538271604938277</v>
      </c>
      <c r="T158">
        <f>(R158-O158)/O158</f>
        <v>4.0000000000000056E-2</v>
      </c>
      <c r="U158">
        <f t="shared" si="27"/>
        <v>65.000000000000028</v>
      </c>
      <c r="V158">
        <f t="shared" si="28"/>
        <v>80.999999999999957</v>
      </c>
      <c r="W158">
        <f t="shared" si="29"/>
        <v>57.000000000000078</v>
      </c>
      <c r="X158">
        <f t="shared" si="30"/>
        <v>65.80000000000004</v>
      </c>
      <c r="Y158">
        <f t="shared" si="31"/>
        <v>5.0000000000000001E-3</v>
      </c>
      <c r="Z158">
        <f t="shared" si="32"/>
        <v>7.9999999999999503</v>
      </c>
      <c r="AA158">
        <f t="shared" si="33"/>
        <v>5.0000000000000001E-3</v>
      </c>
      <c r="AB158">
        <f t="shared" si="34"/>
        <v>-1.1402647627547224E-2</v>
      </c>
      <c r="AC158">
        <f t="shared" si="35"/>
        <v>-6.4026476275472243E-3</v>
      </c>
      <c r="AD158">
        <f t="shared" si="36"/>
        <v>1.0335973523724529</v>
      </c>
      <c r="AE158">
        <f t="shared" si="37"/>
        <v>9.4649999999999999</v>
      </c>
      <c r="AF158" s="80">
        <f t="shared" si="38"/>
        <v>9.7799999999999994</v>
      </c>
    </row>
    <row r="159" spans="1:32" s="8" customFormat="1" ht="45">
      <c r="A159" s="3">
        <v>158</v>
      </c>
      <c r="B159" s="1" t="s">
        <v>153</v>
      </c>
      <c r="C159" s="1" t="s">
        <v>164</v>
      </c>
      <c r="D159" s="2">
        <v>28.5</v>
      </c>
      <c r="E159" s="2">
        <v>17.100000000000001</v>
      </c>
      <c r="F159" s="2">
        <v>14</v>
      </c>
      <c r="G159" s="2">
        <v>11.5</v>
      </c>
      <c r="H159" s="24">
        <v>396</v>
      </c>
      <c r="I159" s="24">
        <v>425</v>
      </c>
      <c r="J159" s="6">
        <f>I159/H159</f>
        <v>1.0732323232323233</v>
      </c>
      <c r="K159" s="24">
        <v>342</v>
      </c>
      <c r="L159" s="24">
        <v>336</v>
      </c>
      <c r="M159" s="6">
        <f>L159/K159</f>
        <v>0.98245614035087714</v>
      </c>
      <c r="N159" s="5">
        <v>495</v>
      </c>
      <c r="O159" s="5">
        <v>482</v>
      </c>
      <c r="P159" s="6">
        <v>0.97373737373737379</v>
      </c>
      <c r="Q159" s="62">
        <f>N159</f>
        <v>495</v>
      </c>
      <c r="R159" s="83">
        <f t="shared" si="26"/>
        <v>501.28000000000003</v>
      </c>
      <c r="S159" s="63">
        <f>R159/Q159</f>
        <v>1.0126868686868689</v>
      </c>
      <c r="T159">
        <f>(R159-O159)/O159</f>
        <v>4.0000000000000063E-2</v>
      </c>
      <c r="U159">
        <f t="shared" si="27"/>
        <v>29.999999999999996</v>
      </c>
      <c r="V159">
        <f t="shared" si="28"/>
        <v>56.000000000000007</v>
      </c>
      <c r="W159">
        <f t="shared" si="29"/>
        <v>51.000000000000043</v>
      </c>
      <c r="X159">
        <f t="shared" si="30"/>
        <v>48.300000000000026</v>
      </c>
      <c r="Y159">
        <f t="shared" si="31"/>
        <v>5.0000000000000001E-3</v>
      </c>
      <c r="Z159">
        <f t="shared" si="32"/>
        <v>-21.000000000000046</v>
      </c>
      <c r="AA159">
        <f t="shared" si="33"/>
        <v>0</v>
      </c>
      <c r="AB159">
        <f t="shared" si="34"/>
        <v>-4.437229437229383E-4</v>
      </c>
      <c r="AC159">
        <f t="shared" si="35"/>
        <v>-4.437229437229383E-4</v>
      </c>
      <c r="AD159">
        <f t="shared" si="36"/>
        <v>1.0395562770562772</v>
      </c>
      <c r="AE159">
        <f t="shared" si="37"/>
        <v>13.37</v>
      </c>
      <c r="AF159" s="80">
        <f t="shared" si="38"/>
        <v>13.9</v>
      </c>
    </row>
    <row r="160" spans="1:32" s="8" customFormat="1" ht="45">
      <c r="A160" s="3">
        <v>159</v>
      </c>
      <c r="B160" s="1" t="s">
        <v>153</v>
      </c>
      <c r="C160" s="1" t="s">
        <v>55</v>
      </c>
      <c r="D160" s="2">
        <v>29.75</v>
      </c>
      <c r="E160" s="2">
        <v>17.850000000000001</v>
      </c>
      <c r="F160" s="2">
        <v>17.25</v>
      </c>
      <c r="G160" s="2">
        <v>15.75</v>
      </c>
      <c r="H160" s="24">
        <v>675</v>
      </c>
      <c r="I160" s="24">
        <v>1.177</v>
      </c>
      <c r="J160" s="6">
        <f>I160/H160</f>
        <v>1.7437037037037037E-3</v>
      </c>
      <c r="K160" s="24">
        <v>621</v>
      </c>
      <c r="L160" s="24">
        <v>859</v>
      </c>
      <c r="M160" s="6">
        <f>L160/K160</f>
        <v>1.3832528180354267</v>
      </c>
      <c r="N160" s="5">
        <v>765</v>
      </c>
      <c r="O160" s="5">
        <v>681</v>
      </c>
      <c r="P160" s="6">
        <v>0.8901960784313725</v>
      </c>
      <c r="Q160" s="62">
        <f>N160</f>
        <v>765</v>
      </c>
      <c r="R160" s="83">
        <f t="shared" si="26"/>
        <v>708.24</v>
      </c>
      <c r="S160" s="63">
        <f>R160/Q160</f>
        <v>0.92580392156862745</v>
      </c>
      <c r="T160">
        <f>(R160-O160)/O160</f>
        <v>4.0000000000000015E-2</v>
      </c>
      <c r="U160">
        <f t="shared" si="27"/>
        <v>25</v>
      </c>
      <c r="V160">
        <f t="shared" si="28"/>
        <v>34</v>
      </c>
      <c r="W160">
        <f t="shared" si="29"/>
        <v>35.999999999999979</v>
      </c>
      <c r="X160">
        <f t="shared" si="30"/>
        <v>33.199999999999989</v>
      </c>
      <c r="Y160">
        <f t="shared" si="31"/>
        <v>5.0000000000000001E-3</v>
      </c>
      <c r="Z160">
        <f t="shared" si="32"/>
        <v>-10.999999999999979</v>
      </c>
      <c r="AA160">
        <f t="shared" si="33"/>
        <v>0</v>
      </c>
      <c r="AB160">
        <f t="shared" si="34"/>
        <v>-1.7822365267410805E-2</v>
      </c>
      <c r="AC160">
        <f t="shared" si="35"/>
        <v>-1.7822365267410805E-2</v>
      </c>
      <c r="AD160">
        <f t="shared" si="36"/>
        <v>1.0221776347325893</v>
      </c>
      <c r="AE160">
        <f t="shared" si="37"/>
        <v>16.62</v>
      </c>
      <c r="AF160" s="80">
        <f t="shared" si="38"/>
        <v>16.989999999999998</v>
      </c>
    </row>
    <row r="161" spans="1:32" s="8" customFormat="1" ht="45">
      <c r="A161" s="3">
        <v>160</v>
      </c>
      <c r="B161" s="1" t="s">
        <v>153</v>
      </c>
      <c r="C161" s="1" t="s">
        <v>50</v>
      </c>
      <c r="D161" s="2">
        <v>31.75</v>
      </c>
      <c r="E161" s="2">
        <v>19.05</v>
      </c>
      <c r="F161" s="2">
        <v>19</v>
      </c>
      <c r="G161" s="2">
        <v>19.25</v>
      </c>
      <c r="H161" s="24">
        <v>810</v>
      </c>
      <c r="I161" s="24">
        <v>773</v>
      </c>
      <c r="J161" s="6">
        <f>I161/H161</f>
        <v>0.95432098765432094</v>
      </c>
      <c r="K161" s="24">
        <v>675</v>
      </c>
      <c r="L161" s="24">
        <v>611</v>
      </c>
      <c r="M161" s="6">
        <f>L161/K161</f>
        <v>0.9051851851851852</v>
      </c>
      <c r="N161" s="5">
        <v>900</v>
      </c>
      <c r="O161" s="5">
        <v>1211</v>
      </c>
      <c r="P161" s="6">
        <v>1.3455555555555556</v>
      </c>
      <c r="Q161" s="62">
        <f>N161</f>
        <v>900</v>
      </c>
      <c r="R161" s="83">
        <f t="shared" si="26"/>
        <v>1259.44</v>
      </c>
      <c r="S161" s="63">
        <f>R161/Q161</f>
        <v>1.3993777777777778</v>
      </c>
      <c r="T161">
        <f>(R161-O161)/O161</f>
        <v>4.0000000000000042E-2</v>
      </c>
      <c r="U161">
        <f t="shared" si="27"/>
        <v>18</v>
      </c>
      <c r="V161">
        <f t="shared" si="28"/>
        <v>20</v>
      </c>
      <c r="W161">
        <f t="shared" si="29"/>
        <v>21.999999999999989</v>
      </c>
      <c r="X161">
        <f t="shared" si="30"/>
        <v>20.599999999999994</v>
      </c>
      <c r="Y161">
        <f t="shared" si="31"/>
        <v>4.0000000000000001E-3</v>
      </c>
      <c r="Z161">
        <f t="shared" si="32"/>
        <v>-3.9999999999999893</v>
      </c>
      <c r="AA161">
        <f t="shared" si="33"/>
        <v>0</v>
      </c>
      <c r="AB161">
        <f t="shared" si="34"/>
        <v>2.4324877250409167E-2</v>
      </c>
      <c r="AC161">
        <f t="shared" si="35"/>
        <v>2.4324877250409167E-2</v>
      </c>
      <c r="AD161">
        <f t="shared" si="36"/>
        <v>1.0643248772504093</v>
      </c>
      <c r="AE161">
        <f t="shared" si="37"/>
        <v>19.134999999999998</v>
      </c>
      <c r="AF161" s="80">
        <f t="shared" si="38"/>
        <v>20.37</v>
      </c>
    </row>
    <row r="162" spans="1:32" s="8" customFormat="1" ht="45">
      <c r="A162" s="3">
        <v>161</v>
      </c>
      <c r="B162" s="1" t="s">
        <v>153</v>
      </c>
      <c r="C162" s="1" t="s">
        <v>165</v>
      </c>
      <c r="D162" s="2">
        <v>29.75</v>
      </c>
      <c r="E162" s="2">
        <v>17.850000000000001</v>
      </c>
      <c r="F162" s="2">
        <v>15</v>
      </c>
      <c r="G162" s="2">
        <v>17.25</v>
      </c>
      <c r="H162" s="24">
        <v>675</v>
      </c>
      <c r="I162" s="24">
        <v>714</v>
      </c>
      <c r="J162" s="6">
        <f>I162/H162</f>
        <v>1.0577777777777777</v>
      </c>
      <c r="K162" s="24">
        <v>675</v>
      </c>
      <c r="L162" s="24">
        <v>685</v>
      </c>
      <c r="M162" s="6">
        <f>L162/K162</f>
        <v>1.0148148148148148</v>
      </c>
      <c r="N162" s="5">
        <v>720</v>
      </c>
      <c r="O162" s="5">
        <v>995</v>
      </c>
      <c r="P162" s="6">
        <v>1.3819444444444444</v>
      </c>
      <c r="Q162" s="62">
        <f>N162</f>
        <v>720</v>
      </c>
      <c r="R162" s="83">
        <f t="shared" si="26"/>
        <v>1034.8</v>
      </c>
      <c r="S162" s="63">
        <f>R162/Q162</f>
        <v>1.4372222222222222</v>
      </c>
      <c r="T162">
        <f>(R162-O162)/O162</f>
        <v>3.9999999999999952E-2</v>
      </c>
      <c r="U162">
        <f t="shared" si="27"/>
        <v>25</v>
      </c>
      <c r="V162">
        <f t="shared" si="28"/>
        <v>50.000000000000007</v>
      </c>
      <c r="W162">
        <f t="shared" si="29"/>
        <v>29.999999999999982</v>
      </c>
      <c r="X162">
        <f t="shared" si="30"/>
        <v>34.999999999999993</v>
      </c>
      <c r="Y162">
        <f t="shared" si="31"/>
        <v>5.0000000000000001E-3</v>
      </c>
      <c r="Z162">
        <f t="shared" si="32"/>
        <v>-4.9999999999999822</v>
      </c>
      <c r="AA162">
        <f t="shared" si="33"/>
        <v>0</v>
      </c>
      <c r="AB162">
        <f t="shared" si="34"/>
        <v>1.8088503649635036E-2</v>
      </c>
      <c r="AC162">
        <f t="shared" si="35"/>
        <v>1.8088503649635036E-2</v>
      </c>
      <c r="AD162">
        <f t="shared" si="36"/>
        <v>1.058088503649635</v>
      </c>
      <c r="AE162">
        <f t="shared" si="37"/>
        <v>16.695</v>
      </c>
      <c r="AF162" s="80">
        <f t="shared" si="38"/>
        <v>17.66</v>
      </c>
    </row>
    <row r="163" spans="1:32" s="8" customFormat="1" ht="45">
      <c r="A163" s="3">
        <v>162</v>
      </c>
      <c r="B163" s="1" t="s">
        <v>153</v>
      </c>
      <c r="C163" s="1" t="s">
        <v>166</v>
      </c>
      <c r="D163" s="2">
        <v>30.75</v>
      </c>
      <c r="E163" s="2">
        <v>18.45</v>
      </c>
      <c r="F163" s="2">
        <v>16</v>
      </c>
      <c r="G163" s="2">
        <v>16.5</v>
      </c>
      <c r="H163" s="24">
        <v>675</v>
      </c>
      <c r="I163" s="24">
        <v>958</v>
      </c>
      <c r="J163" s="6">
        <f>I163/H163</f>
        <v>1.4192592592592592</v>
      </c>
      <c r="K163" s="24">
        <v>621</v>
      </c>
      <c r="L163" s="24">
        <v>645</v>
      </c>
      <c r="M163" s="6">
        <f>L163/K163</f>
        <v>1.038647342995169</v>
      </c>
      <c r="N163" s="5">
        <v>720</v>
      </c>
      <c r="O163" s="5">
        <v>1015</v>
      </c>
      <c r="P163" s="6">
        <v>1.4097222222222223</v>
      </c>
      <c r="Q163" s="62">
        <f>N163</f>
        <v>720</v>
      </c>
      <c r="R163" s="83">
        <f t="shared" si="26"/>
        <v>1055.6000000000001</v>
      </c>
      <c r="S163" s="63">
        <f>R163/Q163</f>
        <v>1.4661111111111114</v>
      </c>
      <c r="T163">
        <f>(R163-O163)/O163</f>
        <v>4.0000000000000133E-2</v>
      </c>
      <c r="U163">
        <f t="shared" si="27"/>
        <v>21</v>
      </c>
      <c r="V163">
        <f t="shared" si="28"/>
        <v>43</v>
      </c>
      <c r="W163">
        <f t="shared" si="29"/>
        <v>32.999999999999979</v>
      </c>
      <c r="X163">
        <f t="shared" si="30"/>
        <v>33.599999999999994</v>
      </c>
      <c r="Y163">
        <f t="shared" si="31"/>
        <v>5.0000000000000001E-3</v>
      </c>
      <c r="Z163">
        <f t="shared" si="32"/>
        <v>-11.999999999999979</v>
      </c>
      <c r="AA163">
        <f t="shared" si="33"/>
        <v>0</v>
      </c>
      <c r="AB163">
        <f t="shared" si="34"/>
        <v>1.7863372093023265E-2</v>
      </c>
      <c r="AC163">
        <f t="shared" si="35"/>
        <v>1.7863372093023265E-2</v>
      </c>
      <c r="AD163">
        <f t="shared" si="36"/>
        <v>1.0578633720930233</v>
      </c>
      <c r="AE163">
        <f t="shared" si="37"/>
        <v>16.740000000000002</v>
      </c>
      <c r="AF163" s="80">
        <f t="shared" si="38"/>
        <v>17.71</v>
      </c>
    </row>
    <row r="164" spans="1:32" s="8" customFormat="1" ht="45">
      <c r="A164" s="3">
        <v>163</v>
      </c>
      <c r="B164" s="1" t="s">
        <v>153</v>
      </c>
      <c r="C164" s="1" t="s">
        <v>42</v>
      </c>
      <c r="D164" s="2">
        <v>22.5</v>
      </c>
      <c r="E164" s="2">
        <v>13.5</v>
      </c>
      <c r="F164" s="2">
        <v>5.25</v>
      </c>
      <c r="G164" s="2">
        <v>10</v>
      </c>
      <c r="H164" s="24">
        <v>331</v>
      </c>
      <c r="I164" s="24">
        <v>412</v>
      </c>
      <c r="J164" s="6">
        <f>I164/H164</f>
        <v>1.244712990936556</v>
      </c>
      <c r="K164" s="24">
        <v>340</v>
      </c>
      <c r="L164" s="24">
        <v>336</v>
      </c>
      <c r="M164" s="6">
        <f>L164/K164</f>
        <v>0.9882352941176471</v>
      </c>
      <c r="N164" s="5">
        <v>405</v>
      </c>
      <c r="O164" s="5">
        <v>500</v>
      </c>
      <c r="P164" s="6">
        <v>1.2345679012345678</v>
      </c>
      <c r="Q164" s="62">
        <f>N164</f>
        <v>405</v>
      </c>
      <c r="R164" s="83">
        <f t="shared" si="26"/>
        <v>520</v>
      </c>
      <c r="S164" s="63">
        <f>R164/Q164</f>
        <v>1.2839506172839505</v>
      </c>
      <c r="T164">
        <f>(R164-O164)/O164</f>
        <v>0.04</v>
      </c>
      <c r="U164">
        <f t="shared" si="27"/>
        <v>56.000000000000007</v>
      </c>
      <c r="V164">
        <f t="shared" si="28"/>
        <v>84.999999999999957</v>
      </c>
      <c r="W164">
        <f t="shared" si="29"/>
        <v>56.000000000000078</v>
      </c>
      <c r="X164">
        <f t="shared" si="30"/>
        <v>64.700000000000031</v>
      </c>
      <c r="Y164">
        <f t="shared" si="31"/>
        <v>5.0000000000000001E-3</v>
      </c>
      <c r="Z164">
        <f t="shared" si="32"/>
        <v>-7.1054273576010019E-14</v>
      </c>
      <c r="AA164">
        <f t="shared" si="33"/>
        <v>0</v>
      </c>
      <c r="AB164">
        <f t="shared" si="34"/>
        <v>1.2463256907701347E-2</v>
      </c>
      <c r="AC164">
        <f t="shared" si="35"/>
        <v>1.2463256907701347E-2</v>
      </c>
      <c r="AD164">
        <f t="shared" si="36"/>
        <v>1.0524632569077015</v>
      </c>
      <c r="AE164">
        <f t="shared" si="37"/>
        <v>9.2750000000000004</v>
      </c>
      <c r="AF164" s="80">
        <f t="shared" si="38"/>
        <v>9.76</v>
      </c>
    </row>
    <row r="165" spans="1:32" s="8" customFormat="1" ht="45">
      <c r="A165" s="3">
        <v>164</v>
      </c>
      <c r="B165" s="1" t="s">
        <v>153</v>
      </c>
      <c r="C165" s="1" t="s">
        <v>167</v>
      </c>
      <c r="D165" s="2">
        <v>24</v>
      </c>
      <c r="E165" s="2">
        <v>14.4</v>
      </c>
      <c r="F165" s="2">
        <v>9</v>
      </c>
      <c r="G165" s="2">
        <v>9</v>
      </c>
      <c r="H165" s="24">
        <v>326</v>
      </c>
      <c r="I165" s="24">
        <v>454</v>
      </c>
      <c r="J165" s="6">
        <f>I165/H165</f>
        <v>1.3926380368098159</v>
      </c>
      <c r="K165" s="24">
        <v>325</v>
      </c>
      <c r="L165" s="24">
        <v>367</v>
      </c>
      <c r="M165" s="6">
        <f>L165/K165</f>
        <v>1.1292307692307693</v>
      </c>
      <c r="N165" s="5">
        <v>450</v>
      </c>
      <c r="O165" s="5">
        <v>478</v>
      </c>
      <c r="P165" s="6">
        <v>1.0622222222222222</v>
      </c>
      <c r="Q165" s="62">
        <f>N165</f>
        <v>450</v>
      </c>
      <c r="R165" s="83">
        <f t="shared" si="26"/>
        <v>497.12</v>
      </c>
      <c r="S165" s="63">
        <f>R165/Q165</f>
        <v>1.1047111111111112</v>
      </c>
      <c r="T165">
        <f>(R165-O165)/O165</f>
        <v>4.0000000000000008E-2</v>
      </c>
      <c r="U165">
        <f t="shared" si="27"/>
        <v>50</v>
      </c>
      <c r="V165">
        <f t="shared" si="28"/>
        <v>78.999999999999972</v>
      </c>
      <c r="W165">
        <f t="shared" si="29"/>
        <v>57.000000000000078</v>
      </c>
      <c r="X165">
        <f t="shared" si="30"/>
        <v>62.200000000000031</v>
      </c>
      <c r="Y165">
        <f t="shared" si="31"/>
        <v>5.0000000000000001E-3</v>
      </c>
      <c r="Z165">
        <f t="shared" si="32"/>
        <v>-7.0000000000000782</v>
      </c>
      <c r="AA165">
        <f t="shared" si="33"/>
        <v>0</v>
      </c>
      <c r="AB165">
        <f t="shared" si="34"/>
        <v>-2.966999697244932E-3</v>
      </c>
      <c r="AC165">
        <f t="shared" si="35"/>
        <v>-2.966999697244932E-3</v>
      </c>
      <c r="AD165">
        <f t="shared" si="36"/>
        <v>1.037033000302755</v>
      </c>
      <c r="AE165">
        <f t="shared" si="37"/>
        <v>10.08</v>
      </c>
      <c r="AF165" s="80">
        <f t="shared" si="38"/>
        <v>10.45</v>
      </c>
    </row>
    <row r="166" spans="1:32" s="8" customFormat="1" ht="45">
      <c r="A166" s="3">
        <v>165</v>
      </c>
      <c r="B166" s="1" t="s">
        <v>153</v>
      </c>
      <c r="C166" s="1" t="s">
        <v>61</v>
      </c>
      <c r="D166" s="2">
        <v>20.75</v>
      </c>
      <c r="E166" s="2">
        <v>12.45</v>
      </c>
      <c r="F166" s="2">
        <v>9.5</v>
      </c>
      <c r="G166" s="2">
        <v>12.75</v>
      </c>
      <c r="H166" s="24">
        <v>396</v>
      </c>
      <c r="I166" s="24">
        <v>433</v>
      </c>
      <c r="J166" s="6">
        <f>I166/H166</f>
        <v>1.0934343434343434</v>
      </c>
      <c r="K166" s="24">
        <v>342</v>
      </c>
      <c r="L166" s="24">
        <v>357</v>
      </c>
      <c r="M166" s="6">
        <f>L166/K166</f>
        <v>1.0438596491228069</v>
      </c>
      <c r="N166" s="5">
        <v>540</v>
      </c>
      <c r="O166" s="5">
        <v>502</v>
      </c>
      <c r="P166" s="6">
        <v>0.92962962962962958</v>
      </c>
      <c r="Q166" s="62">
        <f>N166</f>
        <v>540</v>
      </c>
      <c r="R166" s="83">
        <f t="shared" si="26"/>
        <v>522.08000000000004</v>
      </c>
      <c r="S166" s="63">
        <f>R166/Q166</f>
        <v>0.9668148148148149</v>
      </c>
      <c r="T166">
        <f>(R166-O166)/O166</f>
        <v>4.0000000000000084E-2</v>
      </c>
      <c r="U166">
        <f t="shared" si="27"/>
        <v>65.000000000000028</v>
      </c>
      <c r="V166">
        <f t="shared" si="28"/>
        <v>76.999999999999986</v>
      </c>
      <c r="W166">
        <f t="shared" si="29"/>
        <v>46.000000000000021</v>
      </c>
      <c r="X166">
        <f t="shared" si="30"/>
        <v>59.100000000000016</v>
      </c>
      <c r="Y166">
        <f t="shared" si="31"/>
        <v>5.0000000000000001E-3</v>
      </c>
      <c r="Z166">
        <f t="shared" si="32"/>
        <v>19.000000000000007</v>
      </c>
      <c r="AA166">
        <f t="shared" si="33"/>
        <v>5.0000000000000001E-3</v>
      </c>
      <c r="AB166">
        <f t="shared" si="34"/>
        <v>-5.4715219421101764E-3</v>
      </c>
      <c r="AC166">
        <f t="shared" si="35"/>
        <v>-4.7152194211017625E-4</v>
      </c>
      <c r="AD166">
        <f t="shared" si="36"/>
        <v>1.0395284780578899</v>
      </c>
      <c r="AE166">
        <f t="shared" si="37"/>
        <v>11.715</v>
      </c>
      <c r="AF166" s="80">
        <f t="shared" si="38"/>
        <v>12.18</v>
      </c>
    </row>
    <row r="167" spans="1:32" s="8" customFormat="1" ht="45">
      <c r="A167" s="3">
        <v>166</v>
      </c>
      <c r="B167" s="1" t="s">
        <v>153</v>
      </c>
      <c r="C167" s="1" t="s">
        <v>168</v>
      </c>
      <c r="D167" s="2">
        <v>22.75</v>
      </c>
      <c r="E167" s="2">
        <v>13.65</v>
      </c>
      <c r="F167" s="2">
        <v>8.5</v>
      </c>
      <c r="G167" s="2">
        <v>9</v>
      </c>
      <c r="H167" s="24">
        <v>352</v>
      </c>
      <c r="I167" s="24">
        <v>418</v>
      </c>
      <c r="J167" s="6">
        <f>I167/H167</f>
        <v>1.1875</v>
      </c>
      <c r="K167" s="24">
        <v>315</v>
      </c>
      <c r="L167" s="24">
        <v>305</v>
      </c>
      <c r="M167" s="6">
        <f>L167/K167</f>
        <v>0.96825396825396826</v>
      </c>
      <c r="N167" s="5">
        <v>450</v>
      </c>
      <c r="O167" s="5">
        <v>446</v>
      </c>
      <c r="P167" s="6">
        <v>0.99111111111111116</v>
      </c>
      <c r="Q167" s="62">
        <f>N167</f>
        <v>450</v>
      </c>
      <c r="R167" s="83">
        <f t="shared" si="26"/>
        <v>463.84000000000003</v>
      </c>
      <c r="S167" s="63">
        <f>R167/Q167</f>
        <v>1.0307555555555556</v>
      </c>
      <c r="T167">
        <f>(R167-O167)/O167</f>
        <v>4.000000000000007E-2</v>
      </c>
      <c r="U167">
        <f t="shared" si="27"/>
        <v>54.999999999999993</v>
      </c>
      <c r="V167">
        <f t="shared" si="28"/>
        <v>79.999999999999957</v>
      </c>
      <c r="W167">
        <f t="shared" si="29"/>
        <v>57.000000000000078</v>
      </c>
      <c r="X167">
        <f t="shared" si="30"/>
        <v>63.500000000000028</v>
      </c>
      <c r="Y167">
        <f t="shared" si="31"/>
        <v>5.0000000000000001E-3</v>
      </c>
      <c r="Z167">
        <f t="shared" si="32"/>
        <v>-2.0000000000000853</v>
      </c>
      <c r="AA167">
        <f t="shared" si="33"/>
        <v>0</v>
      </c>
      <c r="AB167">
        <f t="shared" si="34"/>
        <v>1.1803278688524617E-3</v>
      </c>
      <c r="AC167">
        <f t="shared" si="35"/>
        <v>1.1803278688524617E-3</v>
      </c>
      <c r="AD167">
        <f t="shared" si="36"/>
        <v>1.0411803278688525</v>
      </c>
      <c r="AE167">
        <f t="shared" si="37"/>
        <v>9.7800000000000011</v>
      </c>
      <c r="AF167" s="80">
        <f t="shared" si="38"/>
        <v>10.18</v>
      </c>
    </row>
    <row r="168" spans="1:32" s="8" customFormat="1" ht="45">
      <c r="A168" s="3">
        <v>167</v>
      </c>
      <c r="B168" s="1" t="s">
        <v>153</v>
      </c>
      <c r="C168" s="1" t="s">
        <v>169</v>
      </c>
      <c r="D168" s="2">
        <v>27</v>
      </c>
      <c r="E168" s="2">
        <v>16.2</v>
      </c>
      <c r="F168" s="2">
        <v>14.25</v>
      </c>
      <c r="G168" s="2">
        <v>14</v>
      </c>
      <c r="H168" s="24">
        <v>495</v>
      </c>
      <c r="I168" s="24">
        <v>615</v>
      </c>
      <c r="J168" s="6">
        <f>I168/H168</f>
        <v>1.2424242424242424</v>
      </c>
      <c r="K168" s="24">
        <v>430</v>
      </c>
      <c r="L168" s="24">
        <v>493</v>
      </c>
      <c r="M168" s="6">
        <f>L168/K168</f>
        <v>1.1465116279069767</v>
      </c>
      <c r="N168" s="5">
        <v>540</v>
      </c>
      <c r="O168" s="5">
        <v>754</v>
      </c>
      <c r="P168" s="6">
        <v>1.3962962962962964</v>
      </c>
      <c r="Q168" s="62">
        <f>N168</f>
        <v>540</v>
      </c>
      <c r="R168" s="83">
        <f t="shared" si="26"/>
        <v>784.16000000000008</v>
      </c>
      <c r="S168" s="63">
        <f>R168/Q168</f>
        <v>1.4521481481481484</v>
      </c>
      <c r="T168">
        <f>(R168-O168)/O168</f>
        <v>4.0000000000000112E-2</v>
      </c>
      <c r="U168">
        <f t="shared" si="27"/>
        <v>37.999999999999993</v>
      </c>
      <c r="V168">
        <f t="shared" si="28"/>
        <v>55.000000000000007</v>
      </c>
      <c r="W168">
        <f t="shared" si="29"/>
        <v>43.000000000000014</v>
      </c>
      <c r="X168">
        <f t="shared" si="30"/>
        <v>45.600000000000009</v>
      </c>
      <c r="Y168">
        <f t="shared" si="31"/>
        <v>5.0000000000000001E-3</v>
      </c>
      <c r="Z168">
        <f t="shared" si="32"/>
        <v>-5.0000000000000213</v>
      </c>
      <c r="AA168">
        <f t="shared" si="33"/>
        <v>0</v>
      </c>
      <c r="AB168">
        <f t="shared" si="34"/>
        <v>1.0893246187363842E-2</v>
      </c>
      <c r="AC168">
        <f t="shared" si="35"/>
        <v>1.0893246187363842E-2</v>
      </c>
      <c r="AD168">
        <f t="shared" si="36"/>
        <v>1.0508932461873639</v>
      </c>
      <c r="AE168">
        <f t="shared" si="37"/>
        <v>14.514999999999999</v>
      </c>
      <c r="AF168" s="80">
        <f t="shared" si="38"/>
        <v>15.25</v>
      </c>
    </row>
    <row r="169" spans="1:32" s="8" customFormat="1" ht="45">
      <c r="A169" s="3">
        <v>168</v>
      </c>
      <c r="B169" s="1" t="s">
        <v>153</v>
      </c>
      <c r="C169" s="1" t="s">
        <v>170</v>
      </c>
      <c r="D169" s="2">
        <v>20.5</v>
      </c>
      <c r="E169" s="2">
        <v>12.3</v>
      </c>
      <c r="F169" s="2">
        <v>9.5</v>
      </c>
      <c r="G169" s="2">
        <v>9</v>
      </c>
      <c r="H169" s="24">
        <v>315</v>
      </c>
      <c r="I169" s="24">
        <v>432</v>
      </c>
      <c r="J169" s="6">
        <f>I169/H169</f>
        <v>1.3714285714285714</v>
      </c>
      <c r="K169" s="24">
        <v>300</v>
      </c>
      <c r="L169" s="24">
        <v>332</v>
      </c>
      <c r="M169" s="6">
        <f>L169/K169</f>
        <v>1.1066666666666667</v>
      </c>
      <c r="N169" s="5">
        <v>450</v>
      </c>
      <c r="O169" s="5">
        <v>398</v>
      </c>
      <c r="P169" s="6">
        <v>0.88444444444444448</v>
      </c>
      <c r="Q169" s="62">
        <f>N169</f>
        <v>450</v>
      </c>
      <c r="R169" s="83">
        <f t="shared" si="26"/>
        <v>413.92</v>
      </c>
      <c r="S169" s="63">
        <f>R169/Q169</f>
        <v>0.91982222222222221</v>
      </c>
      <c r="T169">
        <f>(R169-O169)/O169</f>
        <v>4.0000000000000042E-2</v>
      </c>
      <c r="U169">
        <f t="shared" si="27"/>
        <v>66.000000000000028</v>
      </c>
      <c r="V169">
        <f t="shared" si="28"/>
        <v>76.999999999999986</v>
      </c>
      <c r="W169">
        <f t="shared" si="29"/>
        <v>57.000000000000078</v>
      </c>
      <c r="X169">
        <f t="shared" si="30"/>
        <v>64.80000000000004</v>
      </c>
      <c r="Y169">
        <f t="shared" si="31"/>
        <v>5.0000000000000001E-3</v>
      </c>
      <c r="Z169">
        <f t="shared" si="32"/>
        <v>8.9999999999999503</v>
      </c>
      <c r="AA169">
        <f t="shared" si="33"/>
        <v>5.0000000000000001E-3</v>
      </c>
      <c r="AB169">
        <f t="shared" si="34"/>
        <v>-1.0040160642570281E-2</v>
      </c>
      <c r="AC169">
        <f t="shared" si="35"/>
        <v>-5.040160642570281E-3</v>
      </c>
      <c r="AD169">
        <f t="shared" si="36"/>
        <v>1.0349598393574297</v>
      </c>
      <c r="AE169">
        <f t="shared" si="37"/>
        <v>9.81</v>
      </c>
      <c r="AF169" s="80">
        <f t="shared" si="38"/>
        <v>10.15</v>
      </c>
    </row>
    <row r="170" spans="1:32" s="8" customFormat="1" ht="45">
      <c r="A170" s="3">
        <v>169</v>
      </c>
      <c r="B170" s="1" t="s">
        <v>153</v>
      </c>
      <c r="C170" s="1" t="s">
        <v>56</v>
      </c>
      <c r="D170" s="2">
        <v>19.25</v>
      </c>
      <c r="E170" s="2">
        <v>11.55</v>
      </c>
      <c r="F170" s="2">
        <v>11.5</v>
      </c>
      <c r="G170" s="2">
        <v>15.25</v>
      </c>
      <c r="H170" s="24">
        <v>368</v>
      </c>
      <c r="I170" s="24">
        <v>320</v>
      </c>
      <c r="J170" s="6">
        <f>I170/H170</f>
        <v>0.86956521739130432</v>
      </c>
      <c r="K170" s="24">
        <v>330</v>
      </c>
      <c r="L170" s="24">
        <v>322</v>
      </c>
      <c r="M170" s="6">
        <f>L170/K170</f>
        <v>0.97575757575757571</v>
      </c>
      <c r="N170" s="5">
        <v>405</v>
      </c>
      <c r="O170" s="5">
        <v>563</v>
      </c>
      <c r="P170" s="6">
        <v>1.3901234567901235</v>
      </c>
      <c r="Q170" s="62">
        <f>N170</f>
        <v>405</v>
      </c>
      <c r="R170" s="83">
        <f t="shared" si="26"/>
        <v>585.52</v>
      </c>
      <c r="S170" s="63">
        <f>R170/Q170</f>
        <v>1.4457283950617283</v>
      </c>
      <c r="T170">
        <f>(R170-O170)/O170</f>
        <v>3.9999999999999966E-2</v>
      </c>
      <c r="U170">
        <f t="shared" si="27"/>
        <v>74.000000000000014</v>
      </c>
      <c r="V170">
        <f t="shared" si="28"/>
        <v>69.999999999999986</v>
      </c>
      <c r="W170">
        <f t="shared" si="29"/>
        <v>37.999999999999979</v>
      </c>
      <c r="X170">
        <f t="shared" si="30"/>
        <v>54.79999999999999</v>
      </c>
      <c r="Y170">
        <f t="shared" si="31"/>
        <v>5.0000000000000001E-3</v>
      </c>
      <c r="Z170">
        <f t="shared" si="32"/>
        <v>36.000000000000036</v>
      </c>
      <c r="AA170">
        <f t="shared" si="33"/>
        <v>5.0000000000000001E-3</v>
      </c>
      <c r="AB170">
        <f t="shared" si="34"/>
        <v>2.1233034276512547E-2</v>
      </c>
      <c r="AC170">
        <f t="shared" si="35"/>
        <v>2.6233034276512548E-2</v>
      </c>
      <c r="AD170">
        <f t="shared" si="36"/>
        <v>1.0662330342765125</v>
      </c>
      <c r="AE170">
        <f t="shared" si="37"/>
        <v>13.385</v>
      </c>
      <c r="AF170" s="80">
        <f t="shared" si="38"/>
        <v>14.27</v>
      </c>
    </row>
    <row r="171" spans="1:32" s="47" customFormat="1" ht="45">
      <c r="A171" s="3">
        <v>170</v>
      </c>
      <c r="B171" s="43" t="s">
        <v>153</v>
      </c>
      <c r="C171" s="43" t="s">
        <v>171</v>
      </c>
      <c r="D171" s="44">
        <f>G171</f>
        <v>9</v>
      </c>
      <c r="E171" s="44">
        <f>G171</f>
        <v>9</v>
      </c>
      <c r="F171" s="44">
        <f>G171</f>
        <v>9</v>
      </c>
      <c r="G171" s="44">
        <v>9</v>
      </c>
      <c r="H171" s="45">
        <f>N171</f>
        <v>675</v>
      </c>
      <c r="I171" s="45">
        <f>H171</f>
        <v>675</v>
      </c>
      <c r="J171" s="46">
        <f>I171/H171</f>
        <v>1</v>
      </c>
      <c r="K171" s="45">
        <f>I171</f>
        <v>675</v>
      </c>
      <c r="L171" s="45">
        <f>K171</f>
        <v>675</v>
      </c>
      <c r="M171" s="46">
        <f>L171/K171</f>
        <v>1</v>
      </c>
      <c r="N171" s="45">
        <v>675</v>
      </c>
      <c r="O171" s="45">
        <f>N171</f>
        <v>675</v>
      </c>
      <c r="P171" s="46">
        <f>O171/N171</f>
        <v>1</v>
      </c>
      <c r="Q171" s="62">
        <f>N171</f>
        <v>675</v>
      </c>
      <c r="R171" s="83">
        <f t="shared" si="26"/>
        <v>702</v>
      </c>
      <c r="S171" s="63">
        <f>R171/Q171</f>
        <v>1.04</v>
      </c>
      <c r="T171">
        <f>(R171-O171)/O171</f>
        <v>0.04</v>
      </c>
      <c r="U171">
        <f t="shared" si="27"/>
        <v>80.999999999999986</v>
      </c>
      <c r="V171">
        <f t="shared" si="28"/>
        <v>78.999999999999972</v>
      </c>
      <c r="W171">
        <f t="shared" si="29"/>
        <v>57.000000000000078</v>
      </c>
      <c r="X171">
        <f t="shared" si="30"/>
        <v>68.400000000000034</v>
      </c>
      <c r="Y171">
        <f t="shared" si="31"/>
        <v>5.0000000000000001E-3</v>
      </c>
      <c r="Z171">
        <f t="shared" si="32"/>
        <v>23.999999999999908</v>
      </c>
      <c r="AA171">
        <f t="shared" si="33"/>
        <v>5.0000000000000001E-3</v>
      </c>
      <c r="AB171">
        <f t="shared" si="34"/>
        <v>0</v>
      </c>
      <c r="AC171">
        <f t="shared" si="35"/>
        <v>5.0000000000000001E-3</v>
      </c>
      <c r="AD171">
        <f t="shared" si="36"/>
        <v>1.0449999999999999</v>
      </c>
      <c r="AE171">
        <f t="shared" si="37"/>
        <v>9</v>
      </c>
      <c r="AF171" s="80">
        <f t="shared" si="38"/>
        <v>9.41</v>
      </c>
    </row>
    <row r="172" spans="1:32" s="25" customFormat="1" ht="38" customHeight="1">
      <c r="H172" s="26">
        <f>SUM(H2:H171)</f>
        <v>104193</v>
      </c>
      <c r="I172" s="26">
        <f t="shared" ref="I172:O172" si="39">SUM(I2:I171)</f>
        <v>139398.177</v>
      </c>
      <c r="J172" s="27">
        <f>I172/H172</f>
        <v>1.3378842820534969</v>
      </c>
      <c r="K172" s="26">
        <f t="shared" si="39"/>
        <v>95238</v>
      </c>
      <c r="L172" s="26">
        <f t="shared" si="39"/>
        <v>113188.22427353024</v>
      </c>
      <c r="M172" s="27">
        <f>L172/K172</f>
        <v>1.1884775433496109</v>
      </c>
      <c r="N172" s="26">
        <f t="shared" si="39"/>
        <v>114000</v>
      </c>
      <c r="O172" s="26">
        <f t="shared" si="39"/>
        <v>154584</v>
      </c>
      <c r="P172" s="27">
        <f>O172/N172</f>
        <v>1.3560000000000001</v>
      </c>
      <c r="Q172" s="65">
        <f>SUM(Q2:Q171)</f>
        <v>114000</v>
      </c>
      <c r="R172" s="83">
        <f t="shared" si="26"/>
        <v>160767.36000000002</v>
      </c>
      <c r="S172" s="66">
        <f>R172/Q172</f>
        <v>1.4102400000000002</v>
      </c>
      <c r="T172" s="71">
        <f>(R172-O172)/O172</f>
        <v>4.0000000000000098E-2</v>
      </c>
      <c r="U172" s="20"/>
      <c r="V172" s="20"/>
      <c r="W172" s="20"/>
      <c r="AF172" s="80"/>
    </row>
    <row r="173" spans="1:32" s="25" customFormat="1" ht="39" customHeight="1">
      <c r="B173" s="70"/>
      <c r="C173" s="69"/>
      <c r="Q173" s="68"/>
      <c r="R173" s="84"/>
      <c r="S173" s="68"/>
      <c r="T173" s="73"/>
      <c r="AF173" s="80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D5" sqref="D5"/>
    </sheetView>
  </sheetViews>
  <sheetFormatPr baseColWidth="10" defaultRowHeight="18" x14ac:dyDescent="0"/>
  <cols>
    <col min="1" max="1" width="23" style="89" bestFit="1" customWidth="1"/>
    <col min="2" max="2" width="11.5" style="89" customWidth="1"/>
    <col min="3" max="5" width="10.83203125" style="89"/>
    <col min="6" max="6" width="10.83203125" style="100"/>
    <col min="7" max="7" width="16.33203125" style="89" customWidth="1"/>
    <col min="8" max="16384" width="10.83203125" style="89"/>
  </cols>
  <sheetData>
    <row r="1" spans="1:9" s="89" customFormat="1" ht="38" customHeight="1">
      <c r="B1" s="90" t="s">
        <v>462</v>
      </c>
      <c r="C1" s="90" t="s">
        <v>463</v>
      </c>
      <c r="D1" s="90" t="s">
        <v>464</v>
      </c>
      <c r="E1" s="90" t="s">
        <v>470</v>
      </c>
      <c r="F1" s="91" t="s">
        <v>471</v>
      </c>
      <c r="G1" s="90" t="s">
        <v>472</v>
      </c>
      <c r="H1" s="92" t="s">
        <v>473</v>
      </c>
      <c r="I1" s="90"/>
    </row>
    <row r="2" spans="1:9" s="89" customFormat="1">
      <c r="A2" s="89" t="s">
        <v>474</v>
      </c>
      <c r="B2" s="93">
        <v>8.5</v>
      </c>
      <c r="C2" s="93">
        <v>8</v>
      </c>
      <c r="D2" s="93">
        <v>8.5</v>
      </c>
      <c r="F2" s="97">
        <f>(E6+E7)/2</f>
        <v>22.33</v>
      </c>
      <c r="G2" s="101">
        <f>MIN((E7-E6)/6, 1)</f>
        <v>0.25087999999999983</v>
      </c>
    </row>
    <row r="3" spans="1:9" s="89" customFormat="1">
      <c r="A3" s="89" t="s">
        <v>465</v>
      </c>
      <c r="B3" s="89">
        <v>0.84</v>
      </c>
      <c r="C3" s="89">
        <v>0.9</v>
      </c>
      <c r="D3" s="89">
        <v>0.94</v>
      </c>
      <c r="F3" s="100"/>
    </row>
    <row r="4" spans="1:9" s="89" customFormat="1">
      <c r="A4" s="89" t="s">
        <v>466</v>
      </c>
      <c r="B4" s="89">
        <v>0.1</v>
      </c>
      <c r="C4" s="89">
        <v>0.12</v>
      </c>
      <c r="D4" s="89">
        <v>0.08</v>
      </c>
      <c r="F4" s="100"/>
    </row>
    <row r="5" spans="1:9" s="89" customFormat="1">
      <c r="A5" s="89" t="s">
        <v>467</v>
      </c>
      <c r="B5" s="89">
        <f>IF(B2&gt;=9.5, 0.75, IF(B2&gt;=8.5, 1.2, 2))</f>
        <v>1.2</v>
      </c>
      <c r="C5" s="89">
        <f>IF(C2&gt;=8.5, 0.8, IF(C2&gt;=8, 1.4, 2.2))</f>
        <v>1.4</v>
      </c>
      <c r="D5" s="89">
        <f>IF(D2&gt;=9.5, 0.75, IF(D2&gt;=8.5, 1.2, 2))</f>
        <v>1.2</v>
      </c>
      <c r="F5" s="100"/>
    </row>
    <row r="6" spans="1:9" s="89" customFormat="1">
      <c r="A6" s="89" t="s">
        <v>468</v>
      </c>
      <c r="B6" s="101">
        <f>B2*B3-(1.96*B4*B5)</f>
        <v>6.9047999999999998</v>
      </c>
      <c r="C6" s="101">
        <f>C2*C3-(1.96*C4*C5)</f>
        <v>6.8707200000000004</v>
      </c>
      <c r="D6" s="101">
        <f>D2*D3-(1.96*D4*D5)</f>
        <v>7.8018399999999994</v>
      </c>
      <c r="E6" s="101">
        <f>SUM(B6:D6)</f>
        <v>21.577359999999999</v>
      </c>
      <c r="F6" s="100"/>
      <c r="H6" s="103">
        <f>ROUND(F2-G2, 2)</f>
        <v>22.08</v>
      </c>
    </row>
    <row r="7" spans="1:9" s="89" customFormat="1">
      <c r="A7" s="89" t="s">
        <v>469</v>
      </c>
      <c r="B7" s="101">
        <f>B2*B3+(1.96*B4*B5)</f>
        <v>7.3751999999999995</v>
      </c>
      <c r="C7" s="101">
        <f t="shared" ref="C7:D7" si="0">C2*C3+(1.96*C4*C5)</f>
        <v>7.52928</v>
      </c>
      <c r="D7" s="101">
        <f t="shared" si="0"/>
        <v>8.1781600000000001</v>
      </c>
      <c r="E7" s="101">
        <f>SUM(B7:D7)</f>
        <v>23.082639999999998</v>
      </c>
      <c r="F7" s="100"/>
      <c r="H7" s="103">
        <f>ROUND(F2+G2, 2)</f>
        <v>22.58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8"/>
  <sheetViews>
    <sheetView topLeftCell="I4" workbookViewId="0">
      <selection activeCell="A18" sqref="A18:XFD18"/>
    </sheetView>
  </sheetViews>
  <sheetFormatPr baseColWidth="10" defaultColWidth="8.83203125" defaultRowHeight="18" x14ac:dyDescent="0"/>
  <cols>
    <col min="1" max="2" width="13.6640625" customWidth="1"/>
    <col min="3" max="3" width="12.6640625" style="59" customWidth="1"/>
    <col min="4" max="5" width="14.6640625" customWidth="1"/>
    <col min="6" max="6" width="7.1640625" customWidth="1"/>
    <col min="7" max="7" width="11.5" customWidth="1"/>
    <col min="8" max="8" width="8.1640625" customWidth="1"/>
    <col min="9" max="9" width="7.1640625" customWidth="1"/>
    <col min="10" max="10" width="11.5" customWidth="1"/>
    <col min="11" max="11" width="8.1640625" customWidth="1"/>
    <col min="12" max="14" width="8.83203125" customWidth="1"/>
    <col min="15" max="15" width="10.1640625" customWidth="1"/>
    <col min="17" max="17" width="12" customWidth="1"/>
    <col min="18" max="18" width="13" customWidth="1"/>
    <col min="19" max="19" width="12.1640625" customWidth="1"/>
    <col min="20" max="20" width="13.1640625" customWidth="1"/>
    <col min="21" max="21" width="12.33203125" customWidth="1"/>
    <col min="22" max="22" width="17.1640625" style="80" customWidth="1"/>
  </cols>
  <sheetData>
    <row r="2" spans="1:22" ht="42">
      <c r="A2" s="21" t="s">
        <v>173</v>
      </c>
      <c r="B2" s="21" t="s">
        <v>185</v>
      </c>
      <c r="C2" s="60" t="s">
        <v>204</v>
      </c>
      <c r="D2" s="20" t="s">
        <v>205</v>
      </c>
      <c r="E2" s="20" t="s">
        <v>206</v>
      </c>
      <c r="F2" s="20" t="s">
        <v>174</v>
      </c>
      <c r="G2" s="20" t="s">
        <v>175</v>
      </c>
      <c r="H2" s="20" t="s">
        <v>184</v>
      </c>
      <c r="I2" s="20" t="s">
        <v>176</v>
      </c>
      <c r="J2" s="20" t="s">
        <v>177</v>
      </c>
      <c r="K2" s="20" t="s">
        <v>184</v>
      </c>
      <c r="L2" s="20" t="s">
        <v>178</v>
      </c>
      <c r="M2" s="20" t="s">
        <v>179</v>
      </c>
      <c r="N2" s="20" t="s">
        <v>184</v>
      </c>
      <c r="O2" s="75" t="s">
        <v>456</v>
      </c>
      <c r="P2" s="75" t="s">
        <v>450</v>
      </c>
      <c r="Q2" s="75" t="s">
        <v>458</v>
      </c>
      <c r="R2" s="75" t="s">
        <v>457</v>
      </c>
      <c r="S2" s="75" t="s">
        <v>460</v>
      </c>
      <c r="T2" s="75" t="s">
        <v>459</v>
      </c>
      <c r="U2" s="75" t="s">
        <v>461</v>
      </c>
      <c r="V2" s="79" t="s">
        <v>453</v>
      </c>
    </row>
    <row r="3" spans="1:22" s="25" customFormat="1" ht="28">
      <c r="A3" s="23" t="s">
        <v>180</v>
      </c>
      <c r="B3" s="23"/>
      <c r="C3" s="60"/>
      <c r="D3" s="20"/>
      <c r="E3" s="20"/>
      <c r="F3" s="20">
        <v>770</v>
      </c>
      <c r="G3" s="20">
        <v>4210</v>
      </c>
      <c r="H3" s="56">
        <f t="shared" ref="H3" si="0">G3/F3</f>
        <v>5.4675324675324672</v>
      </c>
      <c r="I3" s="20">
        <v>805</v>
      </c>
      <c r="J3" s="20">
        <v>3926</v>
      </c>
      <c r="K3" s="56">
        <f t="shared" ref="K3" si="1">J3/I3</f>
        <v>4.8770186335403727</v>
      </c>
      <c r="L3" s="20">
        <v>805</v>
      </c>
      <c r="M3" s="20">
        <v>5738</v>
      </c>
      <c r="N3" s="56">
        <f t="shared" ref="N3" si="2">M3/L3</f>
        <v>7.1279503105590063</v>
      </c>
      <c r="P3" s="25">
        <f>(((M3/L3)-(J3/I3))/(J3/I3))*0.05</f>
        <v>2.3076923076923078E-2</v>
      </c>
      <c r="Q3" s="27">
        <f>AVERAGEIFS($C$4:$C$16,$A$4:$A$16, A4)</f>
        <v>33.82692307692308</v>
      </c>
      <c r="R3" s="27">
        <f>AVERAGEIFS($D$4:$D$16,$A$4:$A$16, A4)</f>
        <v>33.192307692307693</v>
      </c>
      <c r="S3" s="77">
        <f>AVERAGEIFS($E$4:$E$16,$A$4:$A$16, A4)</f>
        <v>35.057692307692307</v>
      </c>
      <c r="V3" s="80"/>
    </row>
    <row r="4" spans="1:22">
      <c r="A4" s="22" t="s">
        <v>186</v>
      </c>
      <c r="B4" s="22" t="s">
        <v>187</v>
      </c>
      <c r="C4" s="76">
        <v>37</v>
      </c>
      <c r="D4" s="19">
        <v>35.5</v>
      </c>
      <c r="E4" s="19">
        <v>36.25</v>
      </c>
      <c r="F4" s="19"/>
      <c r="G4" s="19"/>
      <c r="H4" s="28"/>
      <c r="I4" s="19"/>
      <c r="J4" s="19"/>
      <c r="K4" s="28"/>
      <c r="L4" s="19"/>
      <c r="M4" s="19"/>
      <c r="N4" s="28"/>
      <c r="O4">
        <f>(E4*0.5)+(D4*0.3)+(C4*0.2)</f>
        <v>36.174999999999997</v>
      </c>
      <c r="Q4" s="25"/>
      <c r="T4" s="61">
        <f>((E4-S3)/S3)-((D4-R3)/R3)</f>
        <v>-3.5515039259519564E-2</v>
      </c>
      <c r="U4">
        <f>IF(T4&gt;=0.02, 0.01, IF(T4&lt;=-0.02, -0.01, 0))</f>
        <v>-0.01</v>
      </c>
      <c r="V4" s="80">
        <f>ROUND(O4*(1+P3+U4), 2)</f>
        <v>36.65</v>
      </c>
    </row>
    <row r="5" spans="1:22" ht="28">
      <c r="A5" s="22" t="s">
        <v>186</v>
      </c>
      <c r="B5" s="22" t="s">
        <v>188</v>
      </c>
      <c r="C5" s="76">
        <v>37.5</v>
      </c>
      <c r="D5" s="19">
        <v>35.75</v>
      </c>
      <c r="E5" s="19">
        <v>37.75</v>
      </c>
      <c r="O5">
        <f t="shared" ref="O5:O16" si="3">(E5*0.5)+(D5*0.3)+(C5*0.2)</f>
        <v>37.1</v>
      </c>
      <c r="Q5" s="25"/>
      <c r="T5" s="61">
        <f>((E5-S3)/S3)-((D5-R3)/R3)</f>
        <v>-2.6028937568045585E-4</v>
      </c>
      <c r="U5">
        <f t="shared" ref="U5:U48" si="4">IF(T5&gt;=0.02, 0.01, IF(T5&lt;=-0.02, -0.01, 0))</f>
        <v>0</v>
      </c>
      <c r="V5" s="80">
        <f t="shared" ref="V5:V48" si="5">ROUND(O5*(1+P4+U5), 2)</f>
        <v>37.1</v>
      </c>
    </row>
    <row r="6" spans="1:22">
      <c r="A6" s="22" t="s">
        <v>186</v>
      </c>
      <c r="B6" s="22" t="s">
        <v>189</v>
      </c>
      <c r="C6" s="76">
        <v>34</v>
      </c>
      <c r="D6" s="19">
        <v>31.5</v>
      </c>
      <c r="E6" s="19">
        <v>34.5</v>
      </c>
      <c r="O6">
        <f t="shared" si="3"/>
        <v>33.5</v>
      </c>
      <c r="Q6" s="25"/>
      <c r="T6" s="61">
        <f>((E6-S3)/S3)-((D6-R3)/R3)</f>
        <v>3.5077092055993742E-2</v>
      </c>
      <c r="U6">
        <f t="shared" si="4"/>
        <v>0.01</v>
      </c>
      <c r="V6" s="80">
        <f t="shared" si="5"/>
        <v>33.840000000000003</v>
      </c>
    </row>
    <row r="7" spans="1:22">
      <c r="A7" s="22" t="s">
        <v>186</v>
      </c>
      <c r="B7" s="22" t="s">
        <v>190</v>
      </c>
      <c r="C7" s="76">
        <v>35</v>
      </c>
      <c r="D7" s="19">
        <v>32.5</v>
      </c>
      <c r="E7" s="19">
        <v>38.5</v>
      </c>
      <c r="O7">
        <f t="shared" si="3"/>
        <v>36</v>
      </c>
      <c r="Q7" s="25"/>
      <c r="T7" s="61">
        <f>((E7-S3)/S3)-((D7-R3)/R3)</f>
        <v>0.11904727096600735</v>
      </c>
      <c r="U7">
        <f t="shared" si="4"/>
        <v>0.01</v>
      </c>
      <c r="V7" s="80">
        <f t="shared" si="5"/>
        <v>36.36</v>
      </c>
    </row>
    <row r="8" spans="1:22">
      <c r="A8" s="22" t="s">
        <v>186</v>
      </c>
      <c r="B8" s="22" t="s">
        <v>191</v>
      </c>
      <c r="C8" s="76">
        <v>34.5</v>
      </c>
      <c r="D8" s="19">
        <v>30.75</v>
      </c>
      <c r="E8" s="19">
        <v>34.25</v>
      </c>
      <c r="O8">
        <f t="shared" si="3"/>
        <v>33.25</v>
      </c>
      <c r="Q8" s="25"/>
      <c r="T8" s="61">
        <f>((E8-S3)/S3)-((D8-R3)/R3)</f>
        <v>5.0541586233329938E-2</v>
      </c>
      <c r="U8">
        <f t="shared" si="4"/>
        <v>0.01</v>
      </c>
      <c r="V8" s="80">
        <f t="shared" si="5"/>
        <v>33.58</v>
      </c>
    </row>
    <row r="9" spans="1:22">
      <c r="A9" s="22" t="s">
        <v>186</v>
      </c>
      <c r="B9" s="22" t="s">
        <v>192</v>
      </c>
      <c r="C9" s="76">
        <v>30</v>
      </c>
      <c r="D9" s="19">
        <v>30.75</v>
      </c>
      <c r="E9" s="19">
        <v>30.75</v>
      </c>
      <c r="O9">
        <f t="shared" si="3"/>
        <v>30.6</v>
      </c>
      <c r="Q9" s="25"/>
      <c r="T9" s="61">
        <f>((E9-S3)/S3)-((D9-R3)/R3)</f>
        <v>-4.9293849861020034E-2</v>
      </c>
      <c r="U9">
        <f t="shared" si="4"/>
        <v>-0.01</v>
      </c>
      <c r="V9" s="80">
        <f t="shared" si="5"/>
        <v>30.29</v>
      </c>
    </row>
    <row r="10" spans="1:22">
      <c r="A10" s="22" t="s">
        <v>186</v>
      </c>
      <c r="B10" s="22" t="s">
        <v>193</v>
      </c>
      <c r="C10" s="76">
        <v>31</v>
      </c>
      <c r="D10" s="19">
        <v>30.75</v>
      </c>
      <c r="E10" s="19">
        <v>31.25</v>
      </c>
      <c r="O10">
        <f t="shared" si="3"/>
        <v>31.05</v>
      </c>
      <c r="Q10" s="25"/>
      <c r="T10" s="61">
        <f>((E10-S3)/S3-((D10-R3)/R3))</f>
        <v>-3.5031644704684325E-2</v>
      </c>
      <c r="U10">
        <f t="shared" si="4"/>
        <v>-0.01</v>
      </c>
      <c r="V10" s="80">
        <f t="shared" si="5"/>
        <v>30.74</v>
      </c>
    </row>
    <row r="11" spans="1:22">
      <c r="A11" s="22" t="s">
        <v>186</v>
      </c>
      <c r="B11" s="22" t="s">
        <v>194</v>
      </c>
      <c r="C11" s="76">
        <v>34.75</v>
      </c>
      <c r="D11" s="19">
        <v>37.5</v>
      </c>
      <c r="E11" s="19">
        <v>39.25</v>
      </c>
      <c r="O11">
        <f t="shared" si="3"/>
        <v>37.825000000000003</v>
      </c>
      <c r="Q11" s="25"/>
      <c r="T11" s="61">
        <f>((E11-S3)/S3-((D11-R3)/R3))</f>
        <v>-1.0196733002849442E-2</v>
      </c>
      <c r="U11">
        <f t="shared" si="4"/>
        <v>0</v>
      </c>
      <c r="V11" s="80">
        <f t="shared" si="5"/>
        <v>37.83</v>
      </c>
    </row>
    <row r="12" spans="1:22">
      <c r="A12" s="22" t="s">
        <v>186</v>
      </c>
      <c r="B12" s="22" t="s">
        <v>195</v>
      </c>
      <c r="C12" s="76">
        <v>27</v>
      </c>
      <c r="D12" s="19">
        <v>30.5</v>
      </c>
      <c r="E12" s="19">
        <v>33.25</v>
      </c>
      <c r="O12">
        <f t="shared" si="3"/>
        <v>31.174999999999997</v>
      </c>
      <c r="Q12" s="25"/>
      <c r="T12" s="61">
        <f>((E12-S3)/S3-((D12-R3)/R3))</f>
        <v>2.9549041505826538E-2</v>
      </c>
      <c r="U12">
        <f t="shared" si="4"/>
        <v>0.01</v>
      </c>
      <c r="V12" s="80">
        <f t="shared" si="5"/>
        <v>31.49</v>
      </c>
    </row>
    <row r="13" spans="1:22">
      <c r="A13" s="22" t="s">
        <v>186</v>
      </c>
      <c r="B13" s="22" t="s">
        <v>196</v>
      </c>
      <c r="C13" s="76">
        <v>37.25</v>
      </c>
      <c r="D13" s="19">
        <v>32.25</v>
      </c>
      <c r="E13" s="19">
        <v>33</v>
      </c>
      <c r="O13">
        <f t="shared" si="3"/>
        <v>33.625</v>
      </c>
      <c r="Q13" s="25"/>
      <c r="T13" s="61">
        <f>((E13-S3)/S3-((D13-R3)/R3))</f>
        <v>-3.0305120168517444E-2</v>
      </c>
      <c r="U13">
        <f t="shared" si="4"/>
        <v>-0.01</v>
      </c>
      <c r="V13" s="80">
        <f t="shared" si="5"/>
        <v>33.29</v>
      </c>
    </row>
    <row r="14" spans="1:22">
      <c r="A14" s="22" t="s">
        <v>186</v>
      </c>
      <c r="B14" s="22" t="s">
        <v>197</v>
      </c>
      <c r="C14" s="76">
        <v>37.25</v>
      </c>
      <c r="D14" s="19">
        <v>37.25</v>
      </c>
      <c r="E14" s="19">
        <v>37.5</v>
      </c>
      <c r="O14">
        <f t="shared" si="3"/>
        <v>37.375</v>
      </c>
      <c r="Q14" s="25"/>
      <c r="T14" s="61">
        <f>((E14-S3)/S3-((D14-R3)/R3))</f>
        <v>-5.2582585464856405E-2</v>
      </c>
      <c r="U14">
        <f t="shared" si="4"/>
        <v>-0.01</v>
      </c>
      <c r="V14" s="80">
        <f t="shared" si="5"/>
        <v>37</v>
      </c>
    </row>
    <row r="15" spans="1:22">
      <c r="A15" s="22" t="s">
        <v>186</v>
      </c>
      <c r="B15" s="22" t="s">
        <v>198</v>
      </c>
      <c r="C15" s="76">
        <v>28.5</v>
      </c>
      <c r="D15" s="19">
        <v>30.5</v>
      </c>
      <c r="E15" s="19">
        <v>32.75</v>
      </c>
      <c r="O15">
        <f t="shared" si="3"/>
        <v>31.224999999999998</v>
      </c>
      <c r="Q15" s="25"/>
      <c r="T15" s="61">
        <f>((E15-S3)/S3-((D15-R3)/R3))</f>
        <v>1.5286836349490823E-2</v>
      </c>
      <c r="U15">
        <f t="shared" si="4"/>
        <v>0</v>
      </c>
      <c r="V15" s="80">
        <f t="shared" si="5"/>
        <v>31.23</v>
      </c>
    </row>
    <row r="16" spans="1:22">
      <c r="A16" s="22" t="s">
        <v>186</v>
      </c>
      <c r="B16" s="22" t="s">
        <v>199</v>
      </c>
      <c r="C16" s="76">
        <v>36</v>
      </c>
      <c r="D16" s="19">
        <v>36</v>
      </c>
      <c r="E16" s="19">
        <v>36.75</v>
      </c>
      <c r="O16">
        <f t="shared" si="3"/>
        <v>36.375</v>
      </c>
      <c r="Q16" s="25"/>
      <c r="T16" s="61">
        <f>((E16-S3)/S3-((D16-R3)/R3))</f>
        <v>-3.6316565273519882E-2</v>
      </c>
      <c r="U16">
        <f t="shared" si="4"/>
        <v>-0.01</v>
      </c>
      <c r="V16" s="80">
        <f t="shared" si="5"/>
        <v>36.01</v>
      </c>
    </row>
    <row r="17" spans="1:22" s="25" customFormat="1" ht="28">
      <c r="A17" s="23" t="s">
        <v>181</v>
      </c>
      <c r="B17" s="23"/>
      <c r="C17" s="60"/>
      <c r="D17" s="20"/>
      <c r="E17" s="20"/>
      <c r="F17" s="20">
        <v>455</v>
      </c>
      <c r="G17" s="20">
        <v>1864</v>
      </c>
      <c r="H17" s="56">
        <f t="shared" ref="H17" si="6">G17/F17</f>
        <v>4.0967032967032964</v>
      </c>
      <c r="I17" s="20">
        <v>455</v>
      </c>
      <c r="J17" s="20">
        <v>1624</v>
      </c>
      <c r="K17" s="56">
        <f t="shared" ref="K17" si="7">J17/I17</f>
        <v>3.5692307692307694</v>
      </c>
      <c r="L17" s="20">
        <v>525</v>
      </c>
      <c r="M17" s="20">
        <v>2521</v>
      </c>
      <c r="N17" s="56">
        <f t="shared" ref="N17" si="8">M17/L17</f>
        <v>4.8019047619047619</v>
      </c>
      <c r="P17" s="25">
        <f>(((M17/L17)-(J17/I17))/(J17/I17))*0.05</f>
        <v>1.726806239737274E-2</v>
      </c>
      <c r="Q17" s="25">
        <f>AVERAGEIFS($C$18:$C$27,$A$18:$A$27, A18)</f>
        <v>33.049999999999997</v>
      </c>
      <c r="R17" s="25">
        <f>AVERAGEIFS($D$18:$D$27,$A$18:$A$27, A18)</f>
        <v>32.25</v>
      </c>
      <c r="S17" s="27">
        <f>AVERAGEIFS($E$18:$E$27,$A$18:$A$27, A18)</f>
        <v>34.674999999999997</v>
      </c>
      <c r="V17" s="80"/>
    </row>
    <row r="18" spans="1:22">
      <c r="A18" s="22" t="s">
        <v>200</v>
      </c>
      <c r="B18" s="22" t="s">
        <v>187</v>
      </c>
      <c r="C18" s="76">
        <v>36</v>
      </c>
      <c r="D18" s="19">
        <v>34.25</v>
      </c>
      <c r="E18" s="19">
        <v>36.25</v>
      </c>
      <c r="F18" s="19"/>
      <c r="G18" s="19"/>
      <c r="H18" s="28"/>
      <c r="I18" s="19"/>
      <c r="J18" s="19"/>
      <c r="K18" s="28"/>
      <c r="L18" s="19"/>
      <c r="M18" s="19"/>
      <c r="N18" s="28"/>
      <c r="O18">
        <f>(E18*0.5)+(D18*0.3)+(C18*0.2)</f>
        <v>35.6</v>
      </c>
      <c r="T18" s="61">
        <f>((E18-S17)/S17-((D18-R17)/R17))</f>
        <v>-1.6593730263856431E-2</v>
      </c>
      <c r="U18">
        <f t="shared" si="4"/>
        <v>0</v>
      </c>
      <c r="V18" s="80">
        <f t="shared" si="5"/>
        <v>36.21</v>
      </c>
    </row>
    <row r="19" spans="1:22" ht="28">
      <c r="A19" s="22" t="s">
        <v>200</v>
      </c>
      <c r="B19" s="22" t="s">
        <v>188</v>
      </c>
      <c r="C19" s="76">
        <v>37</v>
      </c>
      <c r="D19" s="19">
        <v>35</v>
      </c>
      <c r="E19" s="19">
        <v>37</v>
      </c>
      <c r="O19">
        <f t="shared" ref="O19:O27" si="9">(E19*0.5)+(D19*0.3)+(C19*0.2)</f>
        <v>36.4</v>
      </c>
      <c r="T19" s="61">
        <f>((E19-S17)/S17-((D19-R17)/R17))</f>
        <v>-1.8220128211576953E-2</v>
      </c>
      <c r="U19">
        <f t="shared" si="4"/>
        <v>0</v>
      </c>
      <c r="V19" s="80">
        <f t="shared" si="5"/>
        <v>36.4</v>
      </c>
    </row>
    <row r="20" spans="1:22">
      <c r="A20" s="22" t="s">
        <v>200</v>
      </c>
      <c r="B20" s="22" t="s">
        <v>189</v>
      </c>
      <c r="C20" s="76">
        <v>28</v>
      </c>
      <c r="D20" s="19">
        <v>29.5</v>
      </c>
      <c r="E20" s="19">
        <v>32</v>
      </c>
      <c r="O20">
        <f t="shared" si="9"/>
        <v>30.450000000000003</v>
      </c>
      <c r="T20" s="61">
        <f>((E20-S17)/S17-((D20-R17)/R17))</f>
        <v>8.1264007422187923E-3</v>
      </c>
      <c r="U20">
        <f t="shared" si="4"/>
        <v>0</v>
      </c>
      <c r="V20" s="80">
        <f t="shared" si="5"/>
        <v>30.45</v>
      </c>
    </row>
    <row r="21" spans="1:22">
      <c r="A21" s="22" t="s">
        <v>200</v>
      </c>
      <c r="B21" s="22" t="s">
        <v>190</v>
      </c>
      <c r="C21" s="76">
        <v>34.25</v>
      </c>
      <c r="D21" s="19">
        <v>30.25</v>
      </c>
      <c r="E21" s="19">
        <v>36.5</v>
      </c>
      <c r="O21">
        <f t="shared" si="9"/>
        <v>34.174999999999997</v>
      </c>
      <c r="T21" s="61">
        <f>((E21-S17)/S17-((D21-R17)/R17))</f>
        <v>0.11464708282333749</v>
      </c>
      <c r="U21">
        <f t="shared" si="4"/>
        <v>0.01</v>
      </c>
      <c r="V21" s="80">
        <f t="shared" si="5"/>
        <v>34.520000000000003</v>
      </c>
    </row>
    <row r="22" spans="1:22">
      <c r="A22" s="22" t="s">
        <v>200</v>
      </c>
      <c r="B22" s="22" t="s">
        <v>191</v>
      </c>
      <c r="C22" s="76">
        <v>33.5</v>
      </c>
      <c r="D22" s="19">
        <v>29.5</v>
      </c>
      <c r="E22" s="19">
        <v>32.5</v>
      </c>
      <c r="O22">
        <f t="shared" si="9"/>
        <v>31.8</v>
      </c>
      <c r="T22" s="61">
        <f>((E22-S17)/S17-((D22-R17)/R17))</f>
        <v>2.2546011412730688E-2</v>
      </c>
      <c r="U22">
        <f t="shared" si="4"/>
        <v>0.01</v>
      </c>
      <c r="V22" s="80">
        <f t="shared" si="5"/>
        <v>32.119999999999997</v>
      </c>
    </row>
    <row r="23" spans="1:22">
      <c r="A23" s="22" t="s">
        <v>200</v>
      </c>
      <c r="B23" s="22" t="s">
        <v>194</v>
      </c>
      <c r="C23" s="76">
        <v>33</v>
      </c>
      <c r="D23" s="19">
        <v>35.75</v>
      </c>
      <c r="E23" s="19">
        <v>37.75</v>
      </c>
      <c r="O23">
        <f t="shared" si="9"/>
        <v>36.200000000000003</v>
      </c>
      <c r="T23" s="61">
        <f>((E23-S17)/S17-((D23-R17)/R17))</f>
        <v>-1.9846526159297481E-2</v>
      </c>
      <c r="U23">
        <f t="shared" si="4"/>
        <v>0</v>
      </c>
      <c r="V23" s="80">
        <f t="shared" si="5"/>
        <v>36.200000000000003</v>
      </c>
    </row>
    <row r="24" spans="1:22">
      <c r="A24" s="22" t="s">
        <v>200</v>
      </c>
      <c r="B24" s="22" t="s">
        <v>195</v>
      </c>
      <c r="C24" s="76">
        <v>24.75</v>
      </c>
      <c r="D24" s="19">
        <v>27</v>
      </c>
      <c r="E24" s="19">
        <v>31.75</v>
      </c>
      <c r="O24">
        <f t="shared" si="9"/>
        <v>28.925000000000001</v>
      </c>
      <c r="T24" s="61">
        <f>((E24-S17)/S17-((D24-R17)/R17))</f>
        <v>7.8435975251924098E-2</v>
      </c>
      <c r="U24">
        <f t="shared" si="4"/>
        <v>0.01</v>
      </c>
      <c r="V24" s="80">
        <f t="shared" si="5"/>
        <v>29.21</v>
      </c>
    </row>
    <row r="25" spans="1:22">
      <c r="A25" s="22" t="s">
        <v>200</v>
      </c>
      <c r="B25" s="22" t="s">
        <v>196</v>
      </c>
      <c r="C25" s="76">
        <v>34.25</v>
      </c>
      <c r="D25" s="19">
        <v>30.5</v>
      </c>
      <c r="E25" s="19">
        <v>31.75</v>
      </c>
      <c r="O25">
        <f t="shared" si="9"/>
        <v>31.875</v>
      </c>
      <c r="T25" s="61">
        <f>((E25-S17)/S17-((D25-R17)/R17))</f>
        <v>-3.0091156531021651E-2</v>
      </c>
      <c r="U25">
        <f t="shared" si="4"/>
        <v>-0.01</v>
      </c>
      <c r="V25" s="80">
        <f t="shared" si="5"/>
        <v>31.56</v>
      </c>
    </row>
    <row r="26" spans="1:22">
      <c r="A26" s="22" t="s">
        <v>200</v>
      </c>
      <c r="B26" s="22" t="s">
        <v>197</v>
      </c>
      <c r="C26" s="76">
        <v>35.75</v>
      </c>
      <c r="D26" s="19">
        <v>35.25</v>
      </c>
      <c r="E26" s="19">
        <v>35.25</v>
      </c>
      <c r="O26">
        <f t="shared" si="9"/>
        <v>35.35</v>
      </c>
      <c r="T26" s="61">
        <f>((E26-S17)/S17-((D26-R17)/R17))</f>
        <v>-7.6440703542864724E-2</v>
      </c>
      <c r="U26">
        <f t="shared" si="4"/>
        <v>-0.01</v>
      </c>
      <c r="V26" s="80">
        <f t="shared" si="5"/>
        <v>35</v>
      </c>
    </row>
    <row r="27" spans="1:22">
      <c r="A27" s="22" t="s">
        <v>200</v>
      </c>
      <c r="B27" s="22" t="s">
        <v>199</v>
      </c>
      <c r="C27" s="76">
        <v>34</v>
      </c>
      <c r="D27" s="19">
        <v>35.5</v>
      </c>
      <c r="E27" s="19">
        <v>36</v>
      </c>
      <c r="O27">
        <f t="shared" si="9"/>
        <v>35.450000000000003</v>
      </c>
      <c r="T27" s="61">
        <f>((E27-S17)/S17-((D27-R17)/R17))</f>
        <v>-6.2563225521592991E-2</v>
      </c>
      <c r="U27">
        <f t="shared" si="4"/>
        <v>-0.01</v>
      </c>
      <c r="V27" s="80">
        <f t="shared" si="5"/>
        <v>35.1</v>
      </c>
    </row>
    <row r="28" spans="1:22" s="25" customFormat="1" ht="42">
      <c r="A28" s="23" t="s">
        <v>183</v>
      </c>
      <c r="B28" s="23"/>
      <c r="C28" s="60"/>
      <c r="D28" s="20"/>
      <c r="E28" s="20"/>
      <c r="F28" s="20">
        <v>315</v>
      </c>
      <c r="G28" s="20">
        <v>957</v>
      </c>
      <c r="H28" s="56">
        <v>3.04</v>
      </c>
      <c r="I28" s="20">
        <v>385</v>
      </c>
      <c r="J28" s="20">
        <v>993</v>
      </c>
      <c r="K28" s="56">
        <v>2.58</v>
      </c>
      <c r="L28" s="20">
        <v>455</v>
      </c>
      <c r="M28" s="20">
        <v>1526</v>
      </c>
      <c r="N28" s="56">
        <f t="shared" ref="N28" si="10">M28/L28</f>
        <v>3.3538461538461539</v>
      </c>
      <c r="P28" s="25">
        <f>(((M28/L28)-(J28/I28))/(J28/I28))*0.05</f>
        <v>1.5016655046866527E-2</v>
      </c>
      <c r="Q28" s="25">
        <f>AVERAGEIFS($C$29:$C$38,$A$29:$A$38, A29)</f>
        <v>31.905000000000001</v>
      </c>
      <c r="R28" s="25">
        <v>31.91</v>
      </c>
      <c r="S28" s="25">
        <f>AVERAGEIFS($E$29:$E$38,$A$29:$A$38, A29)</f>
        <v>29.8</v>
      </c>
      <c r="V28" s="80"/>
    </row>
    <row r="29" spans="1:22">
      <c r="A29" s="23" t="s">
        <v>201</v>
      </c>
      <c r="B29" s="22" t="s">
        <v>187</v>
      </c>
      <c r="C29" s="76">
        <v>34.049999999999997</v>
      </c>
      <c r="D29" s="19">
        <v>34.4</v>
      </c>
      <c r="E29" s="19">
        <v>32.25</v>
      </c>
      <c r="F29" s="19"/>
      <c r="G29" s="19"/>
      <c r="H29" s="28"/>
      <c r="I29" s="19"/>
      <c r="J29" s="19"/>
      <c r="K29" s="28"/>
      <c r="L29" s="19"/>
      <c r="M29" s="19"/>
      <c r="N29" s="28"/>
      <c r="O29" s="57">
        <f>(E29*0.5)+(D29*0.3)+(C29*0.2)</f>
        <v>33.255000000000003</v>
      </c>
      <c r="T29" s="61">
        <f>((E29-S28)/S28-((D29-R28)/R28))</f>
        <v>4.1828001993862995E-3</v>
      </c>
      <c r="U29">
        <f t="shared" si="4"/>
        <v>0</v>
      </c>
      <c r="V29" s="80">
        <f t="shared" si="5"/>
        <v>33.75</v>
      </c>
    </row>
    <row r="30" spans="1:22">
      <c r="A30" s="22" t="s">
        <v>201</v>
      </c>
      <c r="B30" s="22" t="s">
        <v>189</v>
      </c>
      <c r="C30" s="76">
        <v>31.05</v>
      </c>
      <c r="D30" s="19">
        <v>26</v>
      </c>
      <c r="E30" s="19">
        <v>27</v>
      </c>
      <c r="O30">
        <f t="shared" ref="O30:O38" si="11">(E30*0.5)+(D30*0.3)+(C30*0.2)</f>
        <v>27.51</v>
      </c>
      <c r="T30" s="61">
        <f>((E30-S28)/S28-((D30-R28)/R28))</f>
        <v>9.1248667077497722E-2</v>
      </c>
      <c r="U30">
        <f t="shared" si="4"/>
        <v>0.01</v>
      </c>
      <c r="V30" s="80">
        <f t="shared" si="5"/>
        <v>27.79</v>
      </c>
    </row>
    <row r="31" spans="1:22">
      <c r="A31" s="22" t="s">
        <v>201</v>
      </c>
      <c r="B31" s="22" t="s">
        <v>190</v>
      </c>
      <c r="C31" s="76">
        <v>33.200000000000003</v>
      </c>
      <c r="D31" s="19">
        <v>34.549999999999997</v>
      </c>
      <c r="E31" s="19">
        <v>32.75</v>
      </c>
      <c r="O31">
        <f t="shared" si="11"/>
        <v>33.379999999999995</v>
      </c>
      <c r="T31" s="61">
        <f>((E31-S28)/S28-((D31-R18)/R28))</f>
        <v>-0.98373939708786673</v>
      </c>
      <c r="U31">
        <f t="shared" si="4"/>
        <v>-0.01</v>
      </c>
      <c r="V31" s="80">
        <f t="shared" si="5"/>
        <v>33.049999999999997</v>
      </c>
    </row>
    <row r="32" spans="1:22">
      <c r="A32" s="22" t="s">
        <v>201</v>
      </c>
      <c r="B32" s="22" t="s">
        <v>191</v>
      </c>
      <c r="C32" s="76">
        <v>32.799999999999997</v>
      </c>
      <c r="D32" s="19">
        <v>30.15</v>
      </c>
      <c r="E32" s="19">
        <v>28.25</v>
      </c>
      <c r="O32">
        <f>(E32*0.5)+(D32*0.3)+(C32*0.2)</f>
        <v>29.73</v>
      </c>
      <c r="T32" s="61">
        <f>((E32-S28)/S28-((D32-R28)/R28))</f>
        <v>3.1417009668552112E-3</v>
      </c>
      <c r="U32">
        <f t="shared" si="4"/>
        <v>0</v>
      </c>
      <c r="V32" s="80">
        <f t="shared" si="5"/>
        <v>29.73</v>
      </c>
    </row>
    <row r="33" spans="1:22">
      <c r="A33" s="22" t="s">
        <v>201</v>
      </c>
      <c r="B33" s="22" t="s">
        <v>192</v>
      </c>
      <c r="C33" s="78">
        <v>27</v>
      </c>
      <c r="D33" s="67">
        <v>27</v>
      </c>
      <c r="E33" s="19">
        <v>27</v>
      </c>
      <c r="O33">
        <f>E33</f>
        <v>27</v>
      </c>
      <c r="T33" s="61">
        <f>((E33-S28)/S28-((D33-R28)/R28))</f>
        <v>5.9910528562925489E-2</v>
      </c>
      <c r="U33">
        <f t="shared" si="4"/>
        <v>0.01</v>
      </c>
      <c r="V33" s="80">
        <f t="shared" si="5"/>
        <v>27.27</v>
      </c>
    </row>
    <row r="34" spans="1:22">
      <c r="A34" s="22" t="s">
        <v>201</v>
      </c>
      <c r="B34" s="22" t="s">
        <v>194</v>
      </c>
      <c r="C34" s="76">
        <v>32.6</v>
      </c>
      <c r="D34" s="29">
        <v>28.74</v>
      </c>
      <c r="E34" s="19">
        <v>31.75</v>
      </c>
      <c r="O34" s="58">
        <f>(E34*0.5)+(D34*0.3)+(C34*0.2)</f>
        <v>31.016999999999999</v>
      </c>
      <c r="T34" s="61">
        <f>((E34-S28)/S28-((D34-R28)/R28))</f>
        <v>0.16477814070193225</v>
      </c>
      <c r="U34">
        <f t="shared" si="4"/>
        <v>0.01</v>
      </c>
      <c r="V34" s="80">
        <f t="shared" si="5"/>
        <v>31.33</v>
      </c>
    </row>
    <row r="35" spans="1:22">
      <c r="A35" s="22" t="s">
        <v>201</v>
      </c>
      <c r="B35" s="22" t="s">
        <v>195</v>
      </c>
      <c r="C35" s="60">
        <v>29.85</v>
      </c>
      <c r="D35" s="19">
        <v>24.3</v>
      </c>
      <c r="E35" s="19">
        <v>27</v>
      </c>
      <c r="O35">
        <f t="shared" si="11"/>
        <v>26.759999999999998</v>
      </c>
      <c r="T35" s="61">
        <f>((E35-S28)/S28-((D35-R28)/R28))</f>
        <v>0.14452350255227053</v>
      </c>
      <c r="U35">
        <f t="shared" si="4"/>
        <v>0.01</v>
      </c>
      <c r="V35" s="80">
        <f t="shared" si="5"/>
        <v>27.03</v>
      </c>
    </row>
    <row r="36" spans="1:22">
      <c r="A36" s="22" t="s">
        <v>201</v>
      </c>
      <c r="B36" s="22" t="s">
        <v>196</v>
      </c>
      <c r="C36" s="76">
        <v>33.799999999999997</v>
      </c>
      <c r="D36" s="19">
        <v>29.45</v>
      </c>
      <c r="E36" s="19">
        <v>27</v>
      </c>
      <c r="O36" s="57">
        <f t="shared" si="11"/>
        <v>29.094999999999999</v>
      </c>
      <c r="T36" s="61">
        <f>((E36-S28)/S28-((D36-R28)/R28))</f>
        <v>-1.6867910797776456E-2</v>
      </c>
      <c r="U36">
        <f t="shared" si="4"/>
        <v>0</v>
      </c>
      <c r="V36" s="80">
        <f t="shared" si="5"/>
        <v>29.1</v>
      </c>
    </row>
    <row r="37" spans="1:22">
      <c r="A37" s="22" t="s">
        <v>201</v>
      </c>
      <c r="B37" s="22" t="s">
        <v>197</v>
      </c>
      <c r="C37" s="76">
        <v>34.1</v>
      </c>
      <c r="D37" s="19">
        <v>36.450000000000003</v>
      </c>
      <c r="E37" s="19">
        <v>30.25</v>
      </c>
      <c r="O37">
        <f t="shared" si="11"/>
        <v>32.880000000000003</v>
      </c>
      <c r="T37" s="61">
        <f>((E37-S28)/S28-((D37-R28)/R28))</f>
        <v>-0.12717447771521845</v>
      </c>
      <c r="U37">
        <f t="shared" si="4"/>
        <v>-0.01</v>
      </c>
      <c r="V37" s="80">
        <f t="shared" si="5"/>
        <v>32.549999999999997</v>
      </c>
    </row>
    <row r="38" spans="1:22">
      <c r="A38" s="22" t="s">
        <v>201</v>
      </c>
      <c r="B38" s="22" t="s">
        <v>199</v>
      </c>
      <c r="C38" s="76">
        <v>30.6</v>
      </c>
      <c r="D38" s="19">
        <v>31.4</v>
      </c>
      <c r="E38" s="19">
        <v>34.75</v>
      </c>
      <c r="O38" s="57">
        <f t="shared" si="11"/>
        <v>32.915000000000006</v>
      </c>
      <c r="T38" s="61">
        <f>((E38-S28)/S28-((D38-R28)/R28))</f>
        <v>0.18208983319276745</v>
      </c>
      <c r="U38">
        <f t="shared" si="4"/>
        <v>0.01</v>
      </c>
      <c r="V38" s="80">
        <f t="shared" si="5"/>
        <v>33.24</v>
      </c>
    </row>
    <row r="39" spans="1:22" s="25" customFormat="1" ht="42">
      <c r="A39" s="23" t="s">
        <v>182</v>
      </c>
      <c r="B39" s="23"/>
      <c r="C39" s="60"/>
      <c r="D39" s="20"/>
      <c r="E39" s="20"/>
      <c r="F39" s="20">
        <v>380</v>
      </c>
      <c r="G39" s="20">
        <v>1011</v>
      </c>
      <c r="H39" s="56">
        <f t="shared" ref="H39" si="12">G39/F39</f>
        <v>2.6605263157894736</v>
      </c>
      <c r="I39" s="20">
        <v>455</v>
      </c>
      <c r="J39" s="20">
        <v>944</v>
      </c>
      <c r="K39" s="56">
        <f t="shared" ref="K39" si="13">J39/I39</f>
        <v>2.0747252747252749</v>
      </c>
      <c r="L39" s="20">
        <v>525</v>
      </c>
      <c r="M39" s="20">
        <v>1325</v>
      </c>
      <c r="N39" s="56">
        <f t="shared" ref="N39" si="14">M39/L39</f>
        <v>2.5238095238095237</v>
      </c>
      <c r="P39" s="25">
        <f>(((M39/L39)-(J39/I39))/(J39/I39))*0.05</f>
        <v>1.0822740112994344E-2</v>
      </c>
      <c r="Q39" s="27">
        <f>AVERAGEIFS($C$40:$C$48,$A$40:$A$48, A40)</f>
        <v>33.851111111111109</v>
      </c>
      <c r="R39" s="27">
        <f>AVERAGEIFS($D$40:$D$48,$A$40:$A$48, A40)</f>
        <v>33.150000000000006</v>
      </c>
      <c r="S39" s="27">
        <f>AVERAGEIFS($E$40:$E$48,$A$40:$A$48, A40)</f>
        <v>30.138888888888889</v>
      </c>
      <c r="V39" s="80"/>
    </row>
    <row r="40" spans="1:22">
      <c r="A40" s="23" t="s">
        <v>202</v>
      </c>
      <c r="B40" s="22" t="s">
        <v>187</v>
      </c>
      <c r="C40" s="76">
        <v>35.200000000000003</v>
      </c>
      <c r="D40" s="19">
        <v>36.1</v>
      </c>
      <c r="E40" s="19">
        <v>33.25</v>
      </c>
      <c r="F40" s="19"/>
      <c r="G40" s="19"/>
      <c r="H40" s="28"/>
      <c r="I40" s="19"/>
      <c r="J40" s="19"/>
      <c r="K40" s="28"/>
      <c r="L40" s="19"/>
      <c r="M40" s="19"/>
      <c r="N40" s="28"/>
      <c r="O40">
        <f>(E40*0.5)+(D40*0.3)+(C40*0.2)</f>
        <v>34.494999999999997</v>
      </c>
      <c r="T40" s="61">
        <f>((E40-S39)/S39-((D40-R39)/R39))</f>
        <v>1.4236364520994638E-2</v>
      </c>
      <c r="U40">
        <f t="shared" si="4"/>
        <v>0</v>
      </c>
      <c r="V40" s="80">
        <f t="shared" si="5"/>
        <v>34.869999999999997</v>
      </c>
    </row>
    <row r="41" spans="1:22">
      <c r="A41" s="22" t="s">
        <v>202</v>
      </c>
      <c r="B41" s="22" t="s">
        <v>189</v>
      </c>
      <c r="C41" s="78">
        <v>27</v>
      </c>
      <c r="D41" s="67">
        <v>27</v>
      </c>
      <c r="E41" s="19">
        <v>27</v>
      </c>
      <c r="O41">
        <f>E41</f>
        <v>27</v>
      </c>
      <c r="T41" s="61">
        <f>((E41-S39)/S39-((D41-R39)/R39))</f>
        <v>8.1372896553162335E-2</v>
      </c>
      <c r="U41">
        <f t="shared" si="4"/>
        <v>0.01</v>
      </c>
      <c r="V41" s="80">
        <f t="shared" si="5"/>
        <v>27.27</v>
      </c>
    </row>
    <row r="42" spans="1:22">
      <c r="A42" s="22" t="s">
        <v>202</v>
      </c>
      <c r="B42" s="22" t="s">
        <v>190</v>
      </c>
      <c r="C42" s="76">
        <v>35.65</v>
      </c>
      <c r="D42" s="19">
        <v>33.5</v>
      </c>
      <c r="E42" s="19">
        <v>32.5</v>
      </c>
      <c r="O42">
        <f t="shared" ref="O41:O48" si="15">(E42*0.5)+(D42*0.3)+(C42*0.2)</f>
        <v>33.43</v>
      </c>
      <c r="T42" s="61">
        <f>((E42-S39)/S39-((D42-R39)/R39))</f>
        <v>6.7782944443286156E-2</v>
      </c>
      <c r="U42">
        <f t="shared" si="4"/>
        <v>0.01</v>
      </c>
      <c r="V42" s="80">
        <f t="shared" si="5"/>
        <v>33.76</v>
      </c>
    </row>
    <row r="43" spans="1:22">
      <c r="A43" s="22" t="s">
        <v>202</v>
      </c>
      <c r="B43" s="22" t="s">
        <v>191</v>
      </c>
      <c r="C43" s="76">
        <v>32.020000000000003</v>
      </c>
      <c r="D43" s="19">
        <v>30</v>
      </c>
      <c r="E43" s="19">
        <v>28.5</v>
      </c>
      <c r="O43">
        <f t="shared" si="15"/>
        <v>29.654</v>
      </c>
      <c r="T43" s="61">
        <f>((E43-S39)/S39-((D43-R39)/R39))</f>
        <v>4.0644744250057492E-2</v>
      </c>
      <c r="U43">
        <f t="shared" si="4"/>
        <v>0.01</v>
      </c>
      <c r="V43" s="80">
        <f t="shared" si="5"/>
        <v>29.95</v>
      </c>
    </row>
    <row r="44" spans="1:22">
      <c r="A44" s="22" t="s">
        <v>202</v>
      </c>
      <c r="B44" s="22" t="s">
        <v>194</v>
      </c>
      <c r="C44" s="76">
        <v>36.75</v>
      </c>
      <c r="D44" s="19">
        <v>34.25</v>
      </c>
      <c r="E44" s="19">
        <v>31.25</v>
      </c>
      <c r="O44">
        <f t="shared" si="15"/>
        <v>33.25</v>
      </c>
      <c r="T44" s="61">
        <f>((E44-S39)/S39-((D44-R39)/R39))</f>
        <v>3.6838556762657099E-3</v>
      </c>
      <c r="U44">
        <f t="shared" si="4"/>
        <v>0</v>
      </c>
      <c r="V44" s="80">
        <f t="shared" si="5"/>
        <v>33.25</v>
      </c>
    </row>
    <row r="45" spans="1:22">
      <c r="A45" s="22" t="s">
        <v>202</v>
      </c>
      <c r="B45" s="22" t="s">
        <v>195</v>
      </c>
      <c r="C45" s="78">
        <v>27</v>
      </c>
      <c r="D45" s="67">
        <v>27</v>
      </c>
      <c r="E45" s="19">
        <v>27</v>
      </c>
      <c r="O45">
        <f>E45</f>
        <v>27</v>
      </c>
      <c r="T45" s="61">
        <f>((E45-S39)/S39-((D45-R39)/R39))</f>
        <v>8.1372896553162335E-2</v>
      </c>
      <c r="U45">
        <f t="shared" si="4"/>
        <v>0.01</v>
      </c>
      <c r="V45" s="80">
        <f t="shared" si="5"/>
        <v>27.27</v>
      </c>
    </row>
    <row r="46" spans="1:22">
      <c r="A46" s="22" t="s">
        <v>202</v>
      </c>
      <c r="B46" s="22" t="s">
        <v>196</v>
      </c>
      <c r="C46" s="76">
        <v>35.5</v>
      </c>
      <c r="D46" s="19">
        <v>35.75</v>
      </c>
      <c r="E46" s="19">
        <v>27</v>
      </c>
      <c r="O46">
        <f t="shared" si="15"/>
        <v>31.325000000000003</v>
      </c>
      <c r="T46" s="61">
        <f>((E46-S39)/S39-((D46-R39)/R39))</f>
        <v>-0.18257883798680746</v>
      </c>
      <c r="U46">
        <f t="shared" si="4"/>
        <v>-0.01</v>
      </c>
      <c r="V46" s="80">
        <f t="shared" si="5"/>
        <v>31.01</v>
      </c>
    </row>
    <row r="47" spans="1:22">
      <c r="A47" s="22" t="s">
        <v>202</v>
      </c>
      <c r="B47" s="22" t="s">
        <v>197</v>
      </c>
      <c r="C47" s="76">
        <v>37.770000000000003</v>
      </c>
      <c r="D47" s="19">
        <v>38.25</v>
      </c>
      <c r="E47" s="19">
        <v>30.5</v>
      </c>
      <c r="O47">
        <f t="shared" si="15"/>
        <v>34.279000000000003</v>
      </c>
      <c r="T47" s="61">
        <f>((E47-S39)/S39-((D47-R39)/R39))</f>
        <v>-0.14186458702587718</v>
      </c>
      <c r="U47">
        <f t="shared" si="4"/>
        <v>-0.01</v>
      </c>
      <c r="V47" s="80">
        <f t="shared" si="5"/>
        <v>33.94</v>
      </c>
    </row>
    <row r="48" spans="1:22">
      <c r="A48" s="22" t="s">
        <v>202</v>
      </c>
      <c r="B48" s="22" t="s">
        <v>199</v>
      </c>
      <c r="C48" s="76">
        <v>37.770000000000003</v>
      </c>
      <c r="D48" s="19">
        <v>36.5</v>
      </c>
      <c r="E48" s="19">
        <v>34.25</v>
      </c>
      <c r="O48">
        <f t="shared" si="15"/>
        <v>35.628999999999998</v>
      </c>
      <c r="T48" s="61">
        <f>((E48-S39)/S39-((D48-R39)/R39))</f>
        <v>3.5349723015757339E-2</v>
      </c>
      <c r="U48">
        <f t="shared" si="4"/>
        <v>0.01</v>
      </c>
      <c r="V48" s="80">
        <f t="shared" si="5"/>
        <v>35.99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A16" sqref="A16"/>
    </sheetView>
  </sheetViews>
  <sheetFormatPr baseColWidth="10" defaultRowHeight="18" x14ac:dyDescent="0"/>
  <cols>
    <col min="1" max="1" width="31" style="89" customWidth="1"/>
    <col min="2" max="5" width="10.83203125" style="89"/>
    <col min="6" max="6" width="12.1640625" style="89" bestFit="1" customWidth="1"/>
    <col min="7" max="7" width="14.1640625" style="89" customWidth="1"/>
    <col min="8" max="16384" width="10.83203125" style="89"/>
  </cols>
  <sheetData>
    <row r="1" spans="1:15" ht="53" customHeight="1">
      <c r="B1" s="90" t="s">
        <v>462</v>
      </c>
      <c r="C1" s="90" t="s">
        <v>463</v>
      </c>
      <c r="D1" s="90" t="s">
        <v>464</v>
      </c>
      <c r="E1" s="90" t="s">
        <v>482</v>
      </c>
      <c r="F1" s="90" t="s">
        <v>475</v>
      </c>
      <c r="G1" s="91" t="s">
        <v>489</v>
      </c>
      <c r="H1" s="90" t="s">
        <v>483</v>
      </c>
      <c r="I1" s="90" t="s">
        <v>484</v>
      </c>
      <c r="J1" s="91" t="s">
        <v>485</v>
      </c>
      <c r="K1" s="90" t="s">
        <v>490</v>
      </c>
      <c r="L1" s="91" t="s">
        <v>488</v>
      </c>
      <c r="M1" s="90" t="s">
        <v>472</v>
      </c>
      <c r="N1" s="90" t="s">
        <v>491</v>
      </c>
      <c r="O1" s="92" t="s">
        <v>492</v>
      </c>
    </row>
    <row r="2" spans="1:15">
      <c r="A2" s="89" t="s">
        <v>474</v>
      </c>
      <c r="B2" s="93">
        <v>8.1999999999999993</v>
      </c>
      <c r="C2" s="93">
        <v>8.6</v>
      </c>
      <c r="D2" s="93">
        <v>9.3000000000000007</v>
      </c>
      <c r="E2" s="94">
        <f>(B2+C2+D2)/3</f>
        <v>8.6999999999999993</v>
      </c>
      <c r="F2" s="95">
        <v>9.3000000000000007</v>
      </c>
      <c r="G2" s="80">
        <f>(G6+G7)/2</f>
        <v>23.37</v>
      </c>
      <c r="H2" s="96">
        <f>F2-E2</f>
        <v>0.60000000000000142</v>
      </c>
      <c r="I2" s="96">
        <f>IF(H2&gt;=0.8, 2.15, IF(F2&gt;=9.5, 2.15, IF(F2&gt;=8.5, 4.49, 6.48)))</f>
        <v>4.49</v>
      </c>
      <c r="J2" s="97">
        <f>MIN(10, MAX(0, ROUND(F2-IF(H2&gt;=0.8, 2.15, IF(F2&gt;=9.5, 2.15, IF(F2&gt;=8.5, 4.49, 6.68))), 2)))</f>
        <v>4.8099999999999996</v>
      </c>
      <c r="K2" s="96">
        <f>(J8+J9)/2</f>
        <v>4.8099999999999996</v>
      </c>
      <c r="L2" s="97">
        <f>G2+(J2*2)</f>
        <v>32.99</v>
      </c>
      <c r="M2" s="98">
        <f>MIN((J9-J8)/6, 1.5)</f>
        <v>0.41666666666666657</v>
      </c>
      <c r="N2" s="99">
        <f>M2*2</f>
        <v>0.83333333333333315</v>
      </c>
    </row>
    <row r="3" spans="1:15">
      <c r="A3" s="89" t="s">
        <v>477</v>
      </c>
      <c r="B3" s="89">
        <v>0.84</v>
      </c>
      <c r="C3" s="89">
        <v>0.9</v>
      </c>
      <c r="D3" s="89">
        <v>0.94</v>
      </c>
      <c r="H3" s="100"/>
      <c r="I3" s="100"/>
      <c r="J3" s="100"/>
      <c r="K3" s="100"/>
      <c r="L3" s="100"/>
    </row>
    <row r="4" spans="1:15">
      <c r="A4" s="89" t="s">
        <v>478</v>
      </c>
      <c r="B4" s="89">
        <v>0.1</v>
      </c>
      <c r="C4" s="89">
        <v>0.12</v>
      </c>
      <c r="D4" s="89">
        <v>0.08</v>
      </c>
      <c r="H4" s="100"/>
      <c r="I4" s="100"/>
      <c r="J4" s="100"/>
      <c r="K4" s="100"/>
      <c r="L4" s="100"/>
    </row>
    <row r="5" spans="1:15">
      <c r="A5" s="89" t="s">
        <v>479</v>
      </c>
      <c r="B5" s="89">
        <f>IF(B2&gt;=9.5, 0.75, IF(B2&gt;=8.5, 1.2, 2))</f>
        <v>2</v>
      </c>
      <c r="C5" s="89">
        <f>IF(C2&gt;=8.5, 0.8, IF(C2&gt;=8, 1.4, 2.2))</f>
        <v>0.8</v>
      </c>
      <c r="D5" s="89">
        <f>IF(D2&gt;=9.5, 0.75, IF(D2&gt;=8.5, 1.2, 2))</f>
        <v>1.2</v>
      </c>
      <c r="H5" s="100"/>
      <c r="I5" s="100"/>
      <c r="J5" s="100"/>
      <c r="K5" s="100"/>
      <c r="L5" s="100"/>
    </row>
    <row r="6" spans="1:15">
      <c r="A6" s="89" t="s">
        <v>480</v>
      </c>
      <c r="B6" s="101">
        <f>B2*B3-(1.96*B4*B5)</f>
        <v>6.4959999999999987</v>
      </c>
      <c r="C6" s="101">
        <f>C2*C3-(1.96*C4*C5)</f>
        <v>7.5518400000000003</v>
      </c>
      <c r="D6" s="101">
        <f>D2*D3-(1.96*D4*D5)</f>
        <v>8.553840000000001</v>
      </c>
      <c r="E6" s="101"/>
      <c r="F6" s="101"/>
      <c r="G6" s="96">
        <f>SUM(B6:D6)</f>
        <v>22.601680000000002</v>
      </c>
      <c r="H6" s="100"/>
      <c r="I6" s="100"/>
      <c r="J6" s="100"/>
      <c r="K6" s="100"/>
      <c r="L6" s="100"/>
    </row>
    <row r="7" spans="1:15">
      <c r="A7" s="89" t="s">
        <v>481</v>
      </c>
      <c r="B7" s="101">
        <f>B2*B3+(1.96*B4*B5)</f>
        <v>7.2799999999999994</v>
      </c>
      <c r="C7" s="101">
        <f t="shared" ref="C7:D7" si="0">C2*C3+(1.96*C4*C5)</f>
        <v>7.9281600000000001</v>
      </c>
      <c r="D7" s="101">
        <f t="shared" si="0"/>
        <v>8.9301600000000008</v>
      </c>
      <c r="E7" s="101"/>
      <c r="F7" s="101"/>
      <c r="G7" s="96">
        <f>SUM(B7:D7)</f>
        <v>24.13832</v>
      </c>
      <c r="H7" s="100"/>
      <c r="I7" s="100"/>
      <c r="J7" s="100"/>
      <c r="K7" s="100"/>
      <c r="L7" s="100"/>
    </row>
    <row r="8" spans="1:15">
      <c r="A8" s="89" t="s">
        <v>486</v>
      </c>
      <c r="J8" s="80">
        <f>MAX(0, ROUND(J2-IF(H2&gt;=0.8, 0.75, IF(F2&gt;=9.5, 1, IF(F2&gt;=8.5, 1.25, 1.5))), 2))</f>
        <v>3.56</v>
      </c>
      <c r="K8" s="100"/>
      <c r="L8" s="94"/>
      <c r="O8" s="102">
        <f>ROUND(L2-N2, 2)</f>
        <v>32.159999999999997</v>
      </c>
    </row>
    <row r="9" spans="1:15">
      <c r="A9" s="89" t="s">
        <v>487</v>
      </c>
      <c r="J9" s="80">
        <f>MIN(10, ROUND(J2+IF(H2&gt;=0.8, 0.75, IF(F2&gt;=9.5, 1, IF(F2&gt;=8.5, 1.25, 1.5))), 2))</f>
        <v>6.06</v>
      </c>
      <c r="K9" s="100"/>
      <c r="L9" s="94"/>
      <c r="O9" s="102">
        <f>ROUND(L2+N2, 2)</f>
        <v>33.82</v>
      </c>
    </row>
    <row r="11" spans="1:15" s="70" customFormat="1">
      <c r="A11" s="80" t="s">
        <v>476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41" workbookViewId="0">
      <selection activeCell="D18" sqref="D18"/>
    </sheetView>
  </sheetViews>
  <sheetFormatPr baseColWidth="10" defaultColWidth="8.83203125" defaultRowHeight="14" x14ac:dyDescent="0"/>
  <cols>
    <col min="1" max="1" width="18.5" bestFit="1" customWidth="1"/>
    <col min="2" max="2" width="19.33203125" customWidth="1"/>
    <col min="3" max="3" width="37.33203125" customWidth="1"/>
    <col min="4" max="4" width="45.1640625" customWidth="1"/>
  </cols>
  <sheetData>
    <row r="1" spans="1:4" s="38" customFormat="1" ht="23">
      <c r="A1" s="37" t="s">
        <v>345</v>
      </c>
    </row>
    <row r="2" spans="1:4" s="38" customFormat="1"/>
    <row r="3" spans="1:4" s="33" customFormat="1">
      <c r="A3" s="41" t="s">
        <v>341</v>
      </c>
      <c r="B3" s="42" t="s">
        <v>346</v>
      </c>
      <c r="C3" s="41" t="s">
        <v>347</v>
      </c>
      <c r="D3" s="41" t="s">
        <v>342</v>
      </c>
    </row>
    <row r="4" spans="1:4">
      <c r="A4" s="23" t="s">
        <v>348</v>
      </c>
      <c r="B4" s="19" t="s">
        <v>349</v>
      </c>
      <c r="C4" s="23" t="s">
        <v>350</v>
      </c>
      <c r="D4" s="22" t="s">
        <v>351</v>
      </c>
    </row>
    <row r="5" spans="1:4">
      <c r="A5" s="23" t="s">
        <v>352</v>
      </c>
      <c r="B5" s="19" t="s">
        <v>353</v>
      </c>
      <c r="C5" s="23" t="s">
        <v>354</v>
      </c>
      <c r="D5" s="22" t="s">
        <v>355</v>
      </c>
    </row>
    <row r="6" spans="1:4">
      <c r="A6" s="23" t="s">
        <v>356</v>
      </c>
      <c r="B6" s="19" t="s">
        <v>357</v>
      </c>
      <c r="C6" s="23" t="s">
        <v>358</v>
      </c>
      <c r="D6" s="22" t="s">
        <v>359</v>
      </c>
    </row>
    <row r="7" spans="1:4">
      <c r="A7" s="23" t="s">
        <v>360</v>
      </c>
      <c r="B7" s="19" t="s">
        <v>361</v>
      </c>
      <c r="C7" s="23" t="s">
        <v>362</v>
      </c>
      <c r="D7" s="22" t="s">
        <v>363</v>
      </c>
    </row>
    <row r="8" spans="1:4" ht="28">
      <c r="A8" s="23" t="s">
        <v>364</v>
      </c>
      <c r="B8" s="19" t="s">
        <v>365</v>
      </c>
      <c r="C8" s="23" t="s">
        <v>366</v>
      </c>
      <c r="D8" s="22" t="s">
        <v>367</v>
      </c>
    </row>
    <row r="9" spans="1:4" ht="28">
      <c r="A9" s="23" t="s">
        <v>368</v>
      </c>
      <c r="B9" s="19" t="s">
        <v>369</v>
      </c>
      <c r="C9" s="23" t="s">
        <v>370</v>
      </c>
      <c r="D9" s="22" t="s">
        <v>371</v>
      </c>
    </row>
    <row r="10" spans="1:4" ht="28">
      <c r="A10" s="23" t="s">
        <v>344</v>
      </c>
      <c r="B10" s="19" t="s">
        <v>372</v>
      </c>
      <c r="C10" s="23" t="s">
        <v>373</v>
      </c>
      <c r="D10" s="22" t="s">
        <v>374</v>
      </c>
    </row>
    <row r="11" spans="1:4" ht="28">
      <c r="A11" s="23" t="s">
        <v>375</v>
      </c>
      <c r="B11" s="19" t="s">
        <v>376</v>
      </c>
      <c r="C11" s="23" t="s">
        <v>377</v>
      </c>
      <c r="D11" s="22" t="s">
        <v>378</v>
      </c>
    </row>
    <row r="12" spans="1:4">
      <c r="A12" s="23" t="s">
        <v>379</v>
      </c>
      <c r="B12" s="19" t="s">
        <v>380</v>
      </c>
      <c r="C12" s="23" t="s">
        <v>381</v>
      </c>
      <c r="D12" s="22" t="s">
        <v>382</v>
      </c>
    </row>
    <row r="13" spans="1:4" ht="28">
      <c r="A13" s="23" t="s">
        <v>383</v>
      </c>
      <c r="B13" s="19" t="s">
        <v>384</v>
      </c>
      <c r="C13" s="23" t="s">
        <v>385</v>
      </c>
      <c r="D13" s="22" t="s">
        <v>386</v>
      </c>
    </row>
    <row r="14" spans="1:4" s="38" customFormat="1">
      <c r="A14" s="39"/>
    </row>
    <row r="15" spans="1:4" s="38" customFormat="1">
      <c r="A15" s="40" t="s">
        <v>387</v>
      </c>
    </row>
    <row r="16" spans="1:4" s="38" customFormat="1"/>
    <row r="19" spans="1:14" ht="23">
      <c r="A19" s="34" t="s">
        <v>388</v>
      </c>
    </row>
    <row r="21" spans="1:14" s="33" customFormat="1">
      <c r="A21" s="41" t="s">
        <v>341</v>
      </c>
      <c r="B21" s="41" t="s">
        <v>389</v>
      </c>
      <c r="C21" s="41" t="s">
        <v>390</v>
      </c>
    </row>
    <row r="22" spans="1:14" ht="28">
      <c r="A22" s="23" t="s">
        <v>348</v>
      </c>
      <c r="B22" s="23" t="s">
        <v>391</v>
      </c>
      <c r="C22" s="22" t="s">
        <v>392</v>
      </c>
    </row>
    <row r="23" spans="1:14" ht="28">
      <c r="A23" s="23" t="s">
        <v>352</v>
      </c>
      <c r="B23" s="23" t="s">
        <v>343</v>
      </c>
      <c r="C23" s="22" t="s">
        <v>393</v>
      </c>
    </row>
    <row r="24" spans="1:14" ht="28">
      <c r="A24" s="23" t="s">
        <v>356</v>
      </c>
      <c r="B24" s="23" t="s">
        <v>394</v>
      </c>
      <c r="C24" s="22" t="s">
        <v>395</v>
      </c>
    </row>
    <row r="25" spans="1:14" ht="28">
      <c r="A25" s="23" t="s">
        <v>360</v>
      </c>
      <c r="B25" s="23" t="s">
        <v>396</v>
      </c>
      <c r="C25" s="22" t="s">
        <v>397</v>
      </c>
      <c r="N25" t="s">
        <v>203</v>
      </c>
    </row>
    <row r="26" spans="1:14" ht="28">
      <c r="A26" s="23" t="s">
        <v>364</v>
      </c>
      <c r="B26" s="23" t="s">
        <v>398</v>
      </c>
      <c r="C26" s="22" t="s">
        <v>399</v>
      </c>
    </row>
    <row r="27" spans="1:14" ht="28">
      <c r="A27" s="23" t="s">
        <v>368</v>
      </c>
      <c r="B27" s="23" t="s">
        <v>400</v>
      </c>
      <c r="C27" s="22" t="s">
        <v>401</v>
      </c>
    </row>
    <row r="28" spans="1:14" ht="28">
      <c r="A28" s="23" t="s">
        <v>344</v>
      </c>
      <c r="B28" s="23" t="s">
        <v>402</v>
      </c>
      <c r="C28" s="22" t="s">
        <v>403</v>
      </c>
    </row>
    <row r="29" spans="1:14" ht="28">
      <c r="A29" s="23" t="s">
        <v>375</v>
      </c>
      <c r="B29" s="23" t="s">
        <v>404</v>
      </c>
      <c r="C29" s="22" t="s">
        <v>405</v>
      </c>
    </row>
    <row r="30" spans="1:14" ht="28">
      <c r="A30" s="23" t="s">
        <v>379</v>
      </c>
      <c r="B30" s="23" t="s">
        <v>406</v>
      </c>
      <c r="C30" s="22" t="s">
        <v>407</v>
      </c>
    </row>
    <row r="31" spans="1:14" ht="28">
      <c r="A31" s="23" t="s">
        <v>383</v>
      </c>
      <c r="B31" s="23" t="s">
        <v>408</v>
      </c>
      <c r="C31" s="22" t="s">
        <v>409</v>
      </c>
    </row>
    <row r="32" spans="1:14">
      <c r="A32" s="35"/>
    </row>
    <row r="33" spans="1:3">
      <c r="A33" s="36" t="s">
        <v>410</v>
      </c>
    </row>
    <row r="37" spans="1:3" ht="23">
      <c r="A37" s="34" t="s">
        <v>411</v>
      </c>
    </row>
    <row r="39" spans="1:3">
      <c r="A39" s="21" t="s">
        <v>412</v>
      </c>
      <c r="B39" s="21" t="s">
        <v>413</v>
      </c>
      <c r="C39" s="21" t="s">
        <v>414</v>
      </c>
    </row>
    <row r="40" spans="1:3" ht="28">
      <c r="A40" s="23" t="s">
        <v>415</v>
      </c>
      <c r="B40" s="23" t="s">
        <v>415</v>
      </c>
      <c r="C40" s="23" t="s">
        <v>416</v>
      </c>
    </row>
    <row r="41" spans="1:3" ht="28">
      <c r="A41" s="23" t="s">
        <v>415</v>
      </c>
      <c r="B41" s="23" t="s">
        <v>417</v>
      </c>
      <c r="C41" s="22" t="s">
        <v>418</v>
      </c>
    </row>
    <row r="42" spans="1:3" ht="28">
      <c r="A42" s="23" t="s">
        <v>417</v>
      </c>
      <c r="B42" s="23" t="s">
        <v>415</v>
      </c>
      <c r="C42" s="22" t="s">
        <v>419</v>
      </c>
    </row>
    <row r="43" spans="1:3" ht="28">
      <c r="A43" s="23" t="s">
        <v>417</v>
      </c>
      <c r="B43" s="23" t="s">
        <v>417</v>
      </c>
      <c r="C43" s="22" t="s">
        <v>420</v>
      </c>
    </row>
    <row r="45" spans="1:3" ht="30" customHeight="1">
      <c r="A45" s="55" t="s">
        <v>436</v>
      </c>
      <c r="B45" s="55"/>
      <c r="C45" s="55"/>
    </row>
    <row r="46" spans="1:3" ht="16">
      <c r="A46" s="53" t="s">
        <v>0</v>
      </c>
      <c r="B46" s="53" t="s">
        <v>421</v>
      </c>
      <c r="C46" s="53" t="s">
        <v>422</v>
      </c>
    </row>
    <row r="47" spans="1:3" ht="32">
      <c r="A47" s="54">
        <v>1</v>
      </c>
      <c r="B47" s="54" t="s">
        <v>189</v>
      </c>
      <c r="C47" s="54" t="s">
        <v>423</v>
      </c>
    </row>
    <row r="48" spans="1:3" ht="32">
      <c r="A48" s="54">
        <v>2</v>
      </c>
      <c r="B48" s="54" t="s">
        <v>424</v>
      </c>
      <c r="C48" s="54" t="s">
        <v>425</v>
      </c>
    </row>
    <row r="49" spans="1:3" ht="32">
      <c r="A49" s="54">
        <v>3</v>
      </c>
      <c r="B49" s="54" t="s">
        <v>191</v>
      </c>
      <c r="C49" s="54" t="s">
        <v>426</v>
      </c>
    </row>
    <row r="50" spans="1:3" ht="32">
      <c r="A50" s="54">
        <v>4</v>
      </c>
      <c r="B50" s="54" t="s">
        <v>190</v>
      </c>
      <c r="C50" s="54" t="s">
        <v>427</v>
      </c>
    </row>
    <row r="51" spans="1:3" ht="32">
      <c r="A51" s="54">
        <v>5</v>
      </c>
      <c r="B51" s="54" t="s">
        <v>194</v>
      </c>
      <c r="C51" s="54" t="s">
        <v>428</v>
      </c>
    </row>
    <row r="52" spans="1:3" ht="32">
      <c r="A52" s="54">
        <v>6</v>
      </c>
      <c r="B52" s="54" t="s">
        <v>429</v>
      </c>
      <c r="C52" s="54" t="s">
        <v>430</v>
      </c>
    </row>
    <row r="53" spans="1:3" ht="32">
      <c r="A53" s="54">
        <v>7</v>
      </c>
      <c r="B53" s="54" t="s">
        <v>196</v>
      </c>
      <c r="C53" s="54" t="s">
        <v>431</v>
      </c>
    </row>
    <row r="54" spans="1:3" ht="32">
      <c r="A54" s="54">
        <v>8</v>
      </c>
      <c r="B54" s="54" t="s">
        <v>432</v>
      </c>
      <c r="C54" s="54" t="s">
        <v>433</v>
      </c>
    </row>
    <row r="55" spans="1:3" ht="32">
      <c r="A55" s="54">
        <v>9</v>
      </c>
      <c r="B55" s="54" t="s">
        <v>434</v>
      </c>
      <c r="C55" s="54" t="s">
        <v>435</v>
      </c>
    </row>
  </sheetData>
  <mergeCells count="1">
    <mergeCell ref="A45:C45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opLeftCell="A29" workbookViewId="0">
      <selection activeCell="K13" sqref="K13"/>
    </sheetView>
  </sheetViews>
  <sheetFormatPr baseColWidth="10" defaultColWidth="8.83203125" defaultRowHeight="14" x14ac:dyDescent="0"/>
  <cols>
    <col min="1" max="1" width="24.83203125" customWidth="1"/>
    <col min="2" max="2" width="15.33203125" customWidth="1"/>
    <col min="3" max="3" width="18.6640625" customWidth="1"/>
    <col min="4" max="4" width="37.33203125" customWidth="1"/>
  </cols>
  <sheetData>
    <row r="1" spans="1:4" ht="32">
      <c r="A1" s="30" t="s">
        <v>438</v>
      </c>
      <c r="B1" s="30" t="s">
        <v>207</v>
      </c>
      <c r="C1" s="30" t="s">
        <v>208</v>
      </c>
      <c r="D1" s="30" t="s">
        <v>209</v>
      </c>
    </row>
    <row r="2" spans="1:4" ht="32">
      <c r="A2" s="30" t="s">
        <v>210</v>
      </c>
      <c r="B2" s="31" t="s">
        <v>211</v>
      </c>
      <c r="C2" s="31" t="s">
        <v>212</v>
      </c>
      <c r="D2" s="31" t="s">
        <v>213</v>
      </c>
    </row>
    <row r="3" spans="1:4" ht="32">
      <c r="A3" s="32"/>
      <c r="B3" s="31" t="s">
        <v>214</v>
      </c>
      <c r="C3" s="31" t="s">
        <v>215</v>
      </c>
      <c r="D3" s="31" t="s">
        <v>216</v>
      </c>
    </row>
    <row r="4" spans="1:4" ht="32">
      <c r="A4" s="32"/>
      <c r="B4" s="31" t="s">
        <v>217</v>
      </c>
      <c r="C4" s="31" t="s">
        <v>218</v>
      </c>
      <c r="D4" s="31" t="s">
        <v>219</v>
      </c>
    </row>
    <row r="5" spans="1:4" ht="32">
      <c r="A5" s="32"/>
      <c r="B5" s="31" t="s">
        <v>220</v>
      </c>
      <c r="C5" s="31" t="s">
        <v>221</v>
      </c>
      <c r="D5" s="31" t="s">
        <v>222</v>
      </c>
    </row>
    <row r="6" spans="1:4" ht="32">
      <c r="A6" s="32"/>
      <c r="B6" s="31" t="s">
        <v>223</v>
      </c>
      <c r="C6" s="31" t="s">
        <v>224</v>
      </c>
      <c r="D6" s="31" t="s">
        <v>225</v>
      </c>
    </row>
    <row r="7" spans="1:4" ht="32">
      <c r="A7" s="32"/>
      <c r="B7" s="31" t="s">
        <v>226</v>
      </c>
      <c r="C7" s="31" t="s">
        <v>227</v>
      </c>
      <c r="D7" s="31" t="s">
        <v>228</v>
      </c>
    </row>
    <row r="8" spans="1:4" ht="32">
      <c r="A8" s="30" t="s">
        <v>229</v>
      </c>
      <c r="B8" s="31" t="s">
        <v>230</v>
      </c>
      <c r="C8" s="31" t="s">
        <v>231</v>
      </c>
      <c r="D8" s="31" t="s">
        <v>232</v>
      </c>
    </row>
    <row r="9" spans="1:4" ht="32">
      <c r="A9" s="32"/>
      <c r="B9" s="31" t="s">
        <v>233</v>
      </c>
      <c r="C9" s="31" t="s">
        <v>234</v>
      </c>
      <c r="D9" s="31" t="s">
        <v>235</v>
      </c>
    </row>
    <row r="10" spans="1:4" ht="32">
      <c r="A10" s="32"/>
      <c r="B10" s="31" t="s">
        <v>236</v>
      </c>
      <c r="C10" s="31" t="s">
        <v>237</v>
      </c>
      <c r="D10" s="31" t="s">
        <v>238</v>
      </c>
    </row>
    <row r="11" spans="1:4" ht="32">
      <c r="A11" s="32"/>
      <c r="B11" s="31" t="s">
        <v>239</v>
      </c>
      <c r="C11" s="31" t="s">
        <v>240</v>
      </c>
      <c r="D11" s="31" t="s">
        <v>241</v>
      </c>
    </row>
    <row r="12" spans="1:4" ht="32">
      <c r="A12" s="30" t="s">
        <v>242</v>
      </c>
      <c r="B12" s="31" t="s">
        <v>243</v>
      </c>
      <c r="C12" s="31" t="s">
        <v>244</v>
      </c>
      <c r="D12" s="31" t="s">
        <v>245</v>
      </c>
    </row>
    <row r="13" spans="1:4" ht="32">
      <c r="A13" s="32"/>
      <c r="B13" s="31" t="s">
        <v>246</v>
      </c>
      <c r="C13" s="31" t="s">
        <v>247</v>
      </c>
      <c r="D13" s="31" t="s">
        <v>248</v>
      </c>
    </row>
    <row r="14" spans="1:4" ht="32">
      <c r="A14" s="32"/>
      <c r="B14" s="31" t="s">
        <v>249</v>
      </c>
      <c r="C14" s="31" t="s">
        <v>250</v>
      </c>
      <c r="D14" s="31" t="s">
        <v>251</v>
      </c>
    </row>
    <row r="15" spans="1:4" ht="32">
      <c r="A15" s="32"/>
      <c r="B15" s="31" t="s">
        <v>252</v>
      </c>
      <c r="C15" s="31" t="s">
        <v>253</v>
      </c>
      <c r="D15" s="31" t="s">
        <v>254</v>
      </c>
    </row>
    <row r="16" spans="1:4" ht="32">
      <c r="A16" s="32"/>
      <c r="B16" s="31" t="s">
        <v>255</v>
      </c>
      <c r="C16" s="31" t="s">
        <v>256</v>
      </c>
      <c r="D16" s="31" t="s">
        <v>257</v>
      </c>
    </row>
    <row r="17" spans="1:4" ht="32">
      <c r="A17" s="32"/>
      <c r="B17" s="31" t="s">
        <v>258</v>
      </c>
      <c r="C17" s="31" t="s">
        <v>259</v>
      </c>
      <c r="D17" s="31" t="s">
        <v>260</v>
      </c>
    </row>
    <row r="18" spans="1:4" ht="48">
      <c r="A18" s="30" t="s">
        <v>261</v>
      </c>
      <c r="B18" s="31" t="s">
        <v>262</v>
      </c>
      <c r="C18" s="31" t="s">
        <v>263</v>
      </c>
      <c r="D18" s="31" t="s">
        <v>264</v>
      </c>
    </row>
    <row r="19" spans="1:4" ht="32">
      <c r="A19" s="32"/>
      <c r="B19" s="31" t="s">
        <v>265</v>
      </c>
      <c r="C19" s="31" t="s">
        <v>266</v>
      </c>
      <c r="D19" s="31" t="s">
        <v>267</v>
      </c>
    </row>
    <row r="20" spans="1:4" ht="32">
      <c r="A20" s="32"/>
      <c r="B20" s="31" t="s">
        <v>268</v>
      </c>
      <c r="C20" s="31" t="s">
        <v>234</v>
      </c>
      <c r="D20" s="31" t="s">
        <v>269</v>
      </c>
    </row>
    <row r="21" spans="1:4" ht="32">
      <c r="A21" s="32"/>
      <c r="B21" s="31" t="s">
        <v>270</v>
      </c>
      <c r="C21" s="31" t="s">
        <v>271</v>
      </c>
      <c r="D21" s="31" t="s">
        <v>272</v>
      </c>
    </row>
    <row r="22" spans="1:4" ht="32">
      <c r="A22" s="32"/>
      <c r="B22" s="31" t="s">
        <v>273</v>
      </c>
      <c r="C22" s="31" t="s">
        <v>274</v>
      </c>
      <c r="D22" s="31" t="s">
        <v>275</v>
      </c>
    </row>
    <row r="23" spans="1:4" ht="32">
      <c r="A23" s="32"/>
      <c r="B23" s="31" t="s">
        <v>276</v>
      </c>
      <c r="C23" s="31" t="s">
        <v>277</v>
      </c>
      <c r="D23" s="31" t="s">
        <v>278</v>
      </c>
    </row>
    <row r="24" spans="1:4" ht="32">
      <c r="A24" s="32"/>
      <c r="B24" s="31" t="s">
        <v>279</v>
      </c>
      <c r="C24" s="31" t="s">
        <v>280</v>
      </c>
      <c r="D24" s="31" t="s">
        <v>281</v>
      </c>
    </row>
    <row r="25" spans="1:4" ht="48">
      <c r="A25" s="32"/>
      <c r="B25" s="31" t="s">
        <v>282</v>
      </c>
      <c r="C25" s="31" t="s">
        <v>283</v>
      </c>
      <c r="D25" s="31" t="s">
        <v>284</v>
      </c>
    </row>
    <row r="26" spans="1:4" ht="48">
      <c r="A26" s="30" t="s">
        <v>285</v>
      </c>
      <c r="B26" s="31" t="s">
        <v>286</v>
      </c>
      <c r="C26" s="31" t="s">
        <v>287</v>
      </c>
      <c r="D26" s="31" t="s">
        <v>288</v>
      </c>
    </row>
    <row r="27" spans="1:4" ht="32">
      <c r="A27" s="32"/>
      <c r="B27" s="31" t="s">
        <v>289</v>
      </c>
      <c r="C27" s="31" t="s">
        <v>290</v>
      </c>
      <c r="D27" s="31" t="s">
        <v>291</v>
      </c>
    </row>
    <row r="28" spans="1:4" ht="32">
      <c r="A28" s="32"/>
      <c r="B28" s="31" t="s">
        <v>292</v>
      </c>
      <c r="C28" s="31" t="s">
        <v>293</v>
      </c>
      <c r="D28" s="31" t="s">
        <v>294</v>
      </c>
    </row>
    <row r="29" spans="1:4" ht="32">
      <c r="A29" s="32"/>
      <c r="B29" s="31" t="s">
        <v>295</v>
      </c>
      <c r="C29" s="31" t="s">
        <v>296</v>
      </c>
      <c r="D29" s="31" t="s">
        <v>297</v>
      </c>
    </row>
    <row r="30" spans="1:4" ht="32">
      <c r="A30" s="32"/>
      <c r="B30" s="31" t="s">
        <v>298</v>
      </c>
      <c r="C30" s="31" t="s">
        <v>299</v>
      </c>
      <c r="D30" s="31" t="s">
        <v>300</v>
      </c>
    </row>
    <row r="31" spans="1:4" ht="32">
      <c r="A31" s="32"/>
      <c r="B31" s="31" t="s">
        <v>301</v>
      </c>
      <c r="C31" s="31" t="s">
        <v>302</v>
      </c>
      <c r="D31" s="31" t="s">
        <v>303</v>
      </c>
    </row>
    <row r="32" spans="1:4" ht="32">
      <c r="A32" s="32"/>
      <c r="B32" s="31" t="s">
        <v>304</v>
      </c>
      <c r="C32" s="31" t="s">
        <v>305</v>
      </c>
      <c r="D32" s="31" t="s">
        <v>306</v>
      </c>
    </row>
    <row r="33" spans="1:4" ht="32">
      <c r="A33" s="30" t="s">
        <v>307</v>
      </c>
      <c r="B33" s="31" t="s">
        <v>308</v>
      </c>
      <c r="C33" s="31" t="s">
        <v>309</v>
      </c>
      <c r="D33" s="31" t="s">
        <v>310</v>
      </c>
    </row>
    <row r="34" spans="1:4" ht="32">
      <c r="A34" s="32"/>
      <c r="B34" s="31" t="s">
        <v>311</v>
      </c>
      <c r="C34" s="31" t="s">
        <v>312</v>
      </c>
      <c r="D34" s="31" t="s">
        <v>313</v>
      </c>
    </row>
    <row r="35" spans="1:4" ht="32">
      <c r="A35" s="32"/>
      <c r="B35" s="31" t="s">
        <v>314</v>
      </c>
      <c r="C35" s="31" t="s">
        <v>315</v>
      </c>
      <c r="D35" s="31" t="s">
        <v>316</v>
      </c>
    </row>
    <row r="36" spans="1:4" ht="48">
      <c r="A36" s="32"/>
      <c r="B36" s="31" t="s">
        <v>317</v>
      </c>
      <c r="C36" s="31" t="s">
        <v>318</v>
      </c>
      <c r="D36" s="31" t="s">
        <v>319</v>
      </c>
    </row>
    <row r="37" spans="1:4" ht="32">
      <c r="A37" s="32"/>
      <c r="B37" s="31" t="s">
        <v>320</v>
      </c>
      <c r="C37" s="31" t="s">
        <v>312</v>
      </c>
      <c r="D37" s="31" t="s">
        <v>321</v>
      </c>
    </row>
    <row r="38" spans="1:4" ht="32">
      <c r="A38" s="32"/>
      <c r="B38" s="31" t="s">
        <v>322</v>
      </c>
      <c r="C38" s="31" t="s">
        <v>323</v>
      </c>
      <c r="D38" s="31" t="s">
        <v>324</v>
      </c>
    </row>
    <row r="39" spans="1:4" ht="32">
      <c r="A39" s="30" t="s">
        <v>325</v>
      </c>
      <c r="B39" s="31" t="s">
        <v>326</v>
      </c>
      <c r="C39" s="31" t="s">
        <v>327</v>
      </c>
      <c r="D39" s="31" t="s">
        <v>328</v>
      </c>
    </row>
    <row r="40" spans="1:4" ht="32">
      <c r="A40" s="32"/>
      <c r="B40" s="31" t="s">
        <v>329</v>
      </c>
      <c r="C40" s="31" t="s">
        <v>330</v>
      </c>
      <c r="D40" s="31" t="s">
        <v>331</v>
      </c>
    </row>
    <row r="41" spans="1:4" ht="32">
      <c r="A41" s="32"/>
      <c r="B41" s="31" t="s">
        <v>332</v>
      </c>
      <c r="C41" s="31" t="s">
        <v>333</v>
      </c>
      <c r="D41" s="31" t="s">
        <v>334</v>
      </c>
    </row>
    <row r="42" spans="1:4" ht="48">
      <c r="A42" s="32"/>
      <c r="B42" s="31" t="s">
        <v>335</v>
      </c>
      <c r="C42" s="31" t="s">
        <v>336</v>
      </c>
      <c r="D42" s="31" t="s">
        <v>337</v>
      </c>
    </row>
    <row r="43" spans="1:4" ht="48">
      <c r="A43" s="32"/>
      <c r="B43" s="31" t="s">
        <v>338</v>
      </c>
      <c r="C43" s="31" t="s">
        <v>339</v>
      </c>
      <c r="D43" s="31" t="s">
        <v>340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01_Du_lieu_truong_thuong</vt:lpstr>
      <vt:lpstr>02_Dự kiến điểm tuyển sinh</vt:lpstr>
      <vt:lpstr>03_Du_lieu_truong_chuyen</vt:lpstr>
      <vt:lpstr>)4_Dự kiến điểm thi chuyên</vt:lpstr>
      <vt:lpstr>05_Ikigai_mon_hoc</vt:lpstr>
      <vt:lpstr>06_nganh_nghe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Macbook Macbook</cp:lastModifiedBy>
  <dcterms:created xsi:type="dcterms:W3CDTF">2026-07-20T06:14:05Z</dcterms:created>
  <dcterms:modified xsi:type="dcterms:W3CDTF">2026-08-03T13:33:19Z</dcterms:modified>
</cp:coreProperties>
</file>