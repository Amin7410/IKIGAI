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25007"/>
  <workbookPr autoCompressPictures="0"/>
  <bookViews>
    <workbookView xWindow="3680" yWindow="240" windowWidth="24280" windowHeight="15520"/>
  </bookViews>
  <sheets>
    <sheet name="02_Du_lieu_truong_thuong" sheetId="2" r:id="rId1"/>
    <sheet name="04_Du_lieu_truong_chuyen" sheetId="3" r:id="rId2"/>
    <sheet name="07_Ikigai_mon_hoc" sheetId="6" r:id="rId3"/>
    <sheet name="08_nganh_nghe" sheetId="7" r:id="rId4"/>
  </sheets>
  <calcPr calcId="140001" concurrentCalc="0"/>
  <extLst>
    <ext xmlns:mx="http://schemas.microsoft.com/office/mac/excel/2008/main" uri="{7523E5D3-25F3-A5E0-1632-64F254C22452}">
      <mx:ArchID Flags="2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2" i="2" l="1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31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8" i="2"/>
  <c r="R69" i="2"/>
  <c r="R70" i="2"/>
  <c r="R71" i="2"/>
  <c r="R72" i="2"/>
  <c r="R73" i="2"/>
  <c r="R74" i="2"/>
  <c r="R75" i="2"/>
  <c r="R76" i="2"/>
  <c r="R77" i="2"/>
  <c r="R78" i="2"/>
  <c r="R79" i="2"/>
  <c r="R80" i="2"/>
  <c r="R81" i="2"/>
  <c r="R82" i="2"/>
  <c r="R83" i="2"/>
  <c r="R84" i="2"/>
  <c r="R85" i="2"/>
  <c r="R86" i="2"/>
  <c r="R87" i="2"/>
  <c r="R88" i="2"/>
  <c r="R89" i="2"/>
  <c r="R90" i="2"/>
  <c r="R91" i="2"/>
  <c r="R92" i="2"/>
  <c r="R93" i="2"/>
  <c r="R94" i="2"/>
  <c r="R95" i="2"/>
  <c r="R96" i="2"/>
  <c r="R97" i="2"/>
  <c r="R98" i="2"/>
  <c r="R99" i="2"/>
  <c r="R100" i="2"/>
  <c r="R101" i="2"/>
  <c r="R102" i="2"/>
  <c r="R103" i="2"/>
  <c r="R104" i="2"/>
  <c r="R105" i="2"/>
  <c r="R106" i="2"/>
  <c r="O107" i="2"/>
  <c r="R107" i="2"/>
  <c r="R108" i="2"/>
  <c r="R109" i="2"/>
  <c r="R110" i="2"/>
  <c r="R111" i="2"/>
  <c r="R112" i="2"/>
  <c r="R113" i="2"/>
  <c r="R114" i="2"/>
  <c r="R115" i="2"/>
  <c r="R116" i="2"/>
  <c r="R117" i="2"/>
  <c r="R118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1" i="2"/>
  <c r="R132" i="2"/>
  <c r="R133" i="2"/>
  <c r="R134" i="2"/>
  <c r="R135" i="2"/>
  <c r="R136" i="2"/>
  <c r="R137" i="2"/>
  <c r="R138" i="2"/>
  <c r="R139" i="2"/>
  <c r="R140" i="2"/>
  <c r="R141" i="2"/>
  <c r="R142" i="2"/>
  <c r="O143" i="2"/>
  <c r="R143" i="2"/>
  <c r="R144" i="2"/>
  <c r="R145" i="2"/>
  <c r="R146" i="2"/>
  <c r="R147" i="2"/>
  <c r="R148" i="2"/>
  <c r="R149" i="2"/>
  <c r="R150" i="2"/>
  <c r="R151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O171" i="2"/>
  <c r="R171" i="2"/>
  <c r="R172" i="2"/>
  <c r="Q2" i="2"/>
  <c r="Q3" i="2"/>
  <c r="Q4" i="2"/>
  <c r="Q5" i="2"/>
  <c r="Q6" i="2"/>
  <c r="Q7" i="2"/>
  <c r="Q8" i="2"/>
  <c r="Q9" i="2"/>
  <c r="Q10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8" i="2"/>
  <c r="Q69" i="2"/>
  <c r="Q70" i="2"/>
  <c r="Q71" i="2"/>
  <c r="Q72" i="2"/>
  <c r="Q73" i="2"/>
  <c r="Q74" i="2"/>
  <c r="Q75" i="2"/>
  <c r="Q76" i="2"/>
  <c r="Q77" i="2"/>
  <c r="Q78" i="2"/>
  <c r="Q79" i="2"/>
  <c r="Q80" i="2"/>
  <c r="Q81" i="2"/>
  <c r="Q82" i="2"/>
  <c r="Q83" i="2"/>
  <c r="Q84" i="2"/>
  <c r="Q85" i="2"/>
  <c r="Q86" i="2"/>
  <c r="Q87" i="2"/>
  <c r="Q88" i="2"/>
  <c r="Q89" i="2"/>
  <c r="Q90" i="2"/>
  <c r="Q91" i="2"/>
  <c r="Q92" i="2"/>
  <c r="Q93" i="2"/>
  <c r="Q94" i="2"/>
  <c r="Q95" i="2"/>
  <c r="Q96" i="2"/>
  <c r="Q97" i="2"/>
  <c r="Q98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1" i="2"/>
  <c r="Q112" i="2"/>
  <c r="Q113" i="2"/>
  <c r="Q114" i="2"/>
  <c r="Q115" i="2"/>
  <c r="Q116" i="2"/>
  <c r="Q117" i="2"/>
  <c r="Q118" i="2"/>
  <c r="Q119" i="2"/>
  <c r="Q120" i="2"/>
  <c r="Q121" i="2"/>
  <c r="Q122" i="2"/>
  <c r="Q123" i="2"/>
  <c r="Q124" i="2"/>
  <c r="Q125" i="2"/>
  <c r="Q126" i="2"/>
  <c r="Q127" i="2"/>
  <c r="Q128" i="2"/>
  <c r="Q129" i="2"/>
  <c r="Q130" i="2"/>
  <c r="Q131" i="2"/>
  <c r="Q132" i="2"/>
  <c r="Q133" i="2"/>
  <c r="Q134" i="2"/>
  <c r="Q135" i="2"/>
  <c r="Q136" i="2"/>
  <c r="Q137" i="2"/>
  <c r="Q138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Q169" i="2"/>
  <c r="Q170" i="2"/>
  <c r="Q171" i="2"/>
  <c r="Q172" i="2"/>
  <c r="S17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2" i="2"/>
  <c r="O51" i="2"/>
  <c r="O52" i="2"/>
  <c r="O172" i="2"/>
  <c r="P171" i="2"/>
  <c r="H171" i="2"/>
  <c r="I171" i="2"/>
  <c r="K171" i="2"/>
  <c r="L171" i="2"/>
  <c r="M171" i="2"/>
  <c r="J171" i="2"/>
  <c r="F171" i="2"/>
  <c r="E171" i="2"/>
  <c r="D171" i="2"/>
  <c r="P143" i="2"/>
  <c r="H143" i="2"/>
  <c r="K143" i="2"/>
  <c r="L143" i="2"/>
  <c r="M143" i="2"/>
  <c r="I143" i="2"/>
  <c r="J143" i="2"/>
  <c r="D143" i="2"/>
  <c r="E143" i="2"/>
  <c r="F143" i="2"/>
  <c r="H112" i="2"/>
  <c r="I112" i="2"/>
  <c r="J112" i="2"/>
  <c r="D112" i="2"/>
  <c r="E112" i="2"/>
  <c r="P107" i="2"/>
  <c r="H107" i="2"/>
  <c r="I107" i="2"/>
  <c r="L107" i="2"/>
  <c r="K107" i="2"/>
  <c r="M107" i="2"/>
  <c r="J107" i="2"/>
  <c r="D107" i="2"/>
  <c r="E107" i="2"/>
  <c r="F107" i="2"/>
  <c r="P52" i="2"/>
  <c r="L52" i="2"/>
  <c r="K52" i="2"/>
  <c r="M52" i="2"/>
  <c r="J52" i="2"/>
  <c r="P51" i="2"/>
  <c r="L51" i="2"/>
  <c r="K51" i="2"/>
  <c r="M51" i="2"/>
  <c r="H51" i="2"/>
  <c r="I51" i="2"/>
  <c r="J51" i="2"/>
  <c r="F52" i="2"/>
  <c r="D52" i="2"/>
  <c r="E52" i="2"/>
  <c r="M16" i="2"/>
  <c r="P16" i="2"/>
  <c r="J16" i="2"/>
  <c r="M115" i="2"/>
  <c r="L115" i="2"/>
  <c r="M114" i="2"/>
  <c r="L114" i="2"/>
  <c r="M116" i="2"/>
  <c r="L116" i="2"/>
  <c r="M117" i="2"/>
  <c r="L117" i="2"/>
  <c r="M118" i="2"/>
  <c r="L118" i="2"/>
  <c r="M119" i="2"/>
  <c r="L119" i="2"/>
  <c r="M120" i="2"/>
  <c r="L120" i="2"/>
  <c r="M121" i="2"/>
  <c r="L121" i="2"/>
  <c r="M122" i="2"/>
  <c r="L122" i="2"/>
  <c r="M123" i="2"/>
  <c r="L123" i="2"/>
  <c r="M124" i="2"/>
  <c r="L124" i="2"/>
  <c r="M125" i="2"/>
  <c r="L125" i="2"/>
  <c r="M126" i="2"/>
  <c r="L126" i="2"/>
  <c r="M127" i="2"/>
  <c r="L127" i="2"/>
  <c r="M128" i="2"/>
  <c r="L128" i="2"/>
  <c r="M129" i="2"/>
  <c r="L129" i="2"/>
  <c r="M130" i="2"/>
  <c r="L130" i="2"/>
  <c r="M131" i="2"/>
  <c r="L131" i="2"/>
  <c r="M132" i="2"/>
  <c r="L132" i="2"/>
  <c r="M133" i="2"/>
  <c r="L133" i="2"/>
  <c r="M134" i="2"/>
  <c r="L134" i="2"/>
  <c r="M135" i="2"/>
  <c r="L135" i="2"/>
  <c r="M136" i="2"/>
  <c r="L136" i="2"/>
  <c r="M137" i="2"/>
  <c r="L137" i="2"/>
  <c r="M138" i="2"/>
  <c r="L138" i="2"/>
  <c r="M139" i="2"/>
  <c r="L139" i="2"/>
  <c r="M140" i="2"/>
  <c r="L140" i="2"/>
  <c r="M141" i="2"/>
  <c r="L141" i="2"/>
  <c r="M142" i="2"/>
  <c r="L142" i="2"/>
  <c r="L172" i="2"/>
  <c r="K172" i="2"/>
  <c r="M172" i="2"/>
  <c r="J116" i="2"/>
  <c r="I116" i="2"/>
  <c r="I172" i="2"/>
  <c r="H172" i="2"/>
  <c r="J172" i="2"/>
  <c r="J142" i="2"/>
  <c r="J141" i="2"/>
  <c r="J140" i="2"/>
  <c r="J139" i="2"/>
  <c r="J138" i="2"/>
  <c r="J137" i="2"/>
  <c r="J136" i="2"/>
  <c r="J135" i="2"/>
  <c r="J134" i="2"/>
  <c r="J133" i="2"/>
  <c r="J132" i="2"/>
  <c r="J131" i="2"/>
  <c r="J130" i="2"/>
  <c r="J129" i="2"/>
  <c r="J128" i="2"/>
  <c r="J127" i="2"/>
  <c r="J126" i="2"/>
  <c r="J125" i="2"/>
  <c r="J124" i="2"/>
  <c r="J123" i="2"/>
  <c r="J122" i="2"/>
  <c r="J121" i="2"/>
  <c r="J120" i="2"/>
  <c r="J119" i="2"/>
  <c r="J118" i="2"/>
  <c r="J117" i="2"/>
  <c r="J115" i="2"/>
  <c r="J114" i="2"/>
  <c r="N28" i="3"/>
  <c r="N39" i="3"/>
  <c r="K39" i="3"/>
  <c r="H39" i="3"/>
  <c r="N17" i="3"/>
  <c r="K17" i="3"/>
  <c r="H17" i="3"/>
  <c r="N3" i="3"/>
  <c r="K3" i="3"/>
  <c r="H3" i="3"/>
  <c r="N172" i="2"/>
  <c r="P172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M145" i="2"/>
  <c r="J145" i="2"/>
  <c r="M144" i="2"/>
  <c r="J144" i="2"/>
  <c r="M112" i="2"/>
  <c r="M19" i="2"/>
  <c r="M5" i="2"/>
</calcChain>
</file>

<file path=xl/sharedStrings.xml><?xml version="1.0" encoding="utf-8"?>
<sst xmlns="http://schemas.openxmlformats.org/spreadsheetml/2006/main" count="844" uniqueCount="506">
  <si>
    <t>STT</t>
  </si>
  <si>
    <t>Khu vực cũ</t>
  </si>
  <si>
    <t>Trường THPT</t>
  </si>
  <si>
    <t>NV1 2024 công bố</t>
  </si>
  <si>
    <t>NV1 2024 quy đổi thang 30</t>
  </si>
  <si>
    <t>NV1 2025</t>
  </si>
  <si>
    <t>NV1 2026</t>
  </si>
  <si>
    <t>Chỉ tiêu 2024</t>
  </si>
  <si>
    <t>ĐK NV1 2024</t>
  </si>
  <si>
    <t>Tỷ lệ chọi 2024</t>
  </si>
  <si>
    <t>Chỉ tiêu 2025</t>
  </si>
  <si>
    <t>ĐK NV1 2025</t>
  </si>
  <si>
    <t>Tỷ lệ chọi 2025</t>
  </si>
  <si>
    <t>Chỉ tiêu 2026</t>
  </si>
  <si>
    <t>ĐK NV1 2026</t>
  </si>
  <si>
    <t>Tỷ lệ chọi 2026</t>
  </si>
  <si>
    <t>TP.HCM cũ</t>
  </si>
  <si>
    <t>THPT Trưng Vương</t>
  </si>
  <si>
    <t>THPT Bùi Thị Xuân</t>
  </si>
  <si>
    <t>THPT Ten Lơ Man</t>
  </si>
  <si>
    <t>THPT Năng khiếu TDTT</t>
  </si>
  <si>
    <t>THCS và THPT Trần Đại Nghĩa</t>
  </si>
  <si>
    <t>THPT Lương Thế Vinh</t>
  </si>
  <si>
    <t>THPT Giồng Ông Tố</t>
  </si>
  <si>
    <t>THPT Thủ Thiêm</t>
  </si>
  <si>
    <t>THPT Lê Quý Đôn</t>
  </si>
  <si>
    <t>THPT Nguyễn Thị Minh Khai</t>
  </si>
  <si>
    <t>THPT Lê Thị Hồng Gấm</t>
  </si>
  <si>
    <t>THPT Marie Curie</t>
  </si>
  <si>
    <t>THPT Nguyễn Thị Diệu</t>
  </si>
  <si>
    <t>THPT Nguyễn Trãi</t>
  </si>
  <si>
    <t>THPT Nguyễn Hữu Thọ</t>
  </si>
  <si>
    <t>THPT Hùng Vương</t>
  </si>
  <si>
    <t>Trung học thực hành Sư phạm</t>
  </si>
  <si>
    <t>THPT Trần Khai Nguyên</t>
  </si>
  <si>
    <t>THPT Trần Hữu Trang</t>
  </si>
  <si>
    <t>THPT Mạc Đĩnh Chi</t>
  </si>
  <si>
    <t>THPT Bình Phú</t>
  </si>
  <si>
    <t>THPT Nguyễn Tất Thành</t>
  </si>
  <si>
    <t>THPT Phạm Phú Thứ</t>
  </si>
  <si>
    <t>THPT Lê Thánh Tôn</t>
  </si>
  <si>
    <t>THPT Tân Phong</t>
  </si>
  <si>
    <t>THPT Ngô Quyền</t>
  </si>
  <si>
    <t>THPT Nam Sài Gòn</t>
  </si>
  <si>
    <t>THPT Lương Văn Can</t>
  </si>
  <si>
    <t>THPT Ngô Gia Tự</t>
  </si>
  <si>
    <t>THPT Tạ Quang Bửu</t>
  </si>
  <si>
    <t>THPT Nguyễn Văn Linh</t>
  </si>
  <si>
    <t>THPT Võ Văn Kiệt</t>
  </si>
  <si>
    <t>Phổ thông NK TDTT Nguyễn Thị Định</t>
  </si>
  <si>
    <t>THPT Nguyễn Huệ</t>
  </si>
  <si>
    <t>THPT Phước Long</t>
  </si>
  <si>
    <t>THPT Long Trường</t>
  </si>
  <si>
    <t>THPT Nguyễn Văn Tăng</t>
  </si>
  <si>
    <t>THPT Dương Văn Thì</t>
  </si>
  <si>
    <t>THPT Nguyễn Khuyến</t>
  </si>
  <si>
    <t>THPT Nguyễn Du</t>
  </si>
  <si>
    <t>THPT Nguyễn An Ninh</t>
  </si>
  <si>
    <t>THPT Diên Hồng</t>
  </si>
  <si>
    <t>THPT Sương Nguyệt Anh</t>
  </si>
  <si>
    <t>THPT Nguyễn Hiền</t>
  </si>
  <si>
    <t>THPT Trần Quang Khải</t>
  </si>
  <si>
    <t>THPT Nam Kỳ Khởi Nghĩa</t>
  </si>
  <si>
    <t>THPT Võ Trường Toản</t>
  </si>
  <si>
    <t>THPT Trường Chinh</t>
  </si>
  <si>
    <t>THPT Phan Văn Hớn</t>
  </si>
  <si>
    <t>TH, THCS và THPT Lê Thị Riêng</t>
  </si>
  <si>
    <t>THPT Thạnh Lộc</t>
  </si>
  <si>
    <t>THPT Thanh Đa</t>
  </si>
  <si>
    <t>THPT Võ Thị Sáu</t>
  </si>
  <si>
    <t>THPT Gia Định</t>
  </si>
  <si>
    <t>THPT Phan Đăng Lưu</t>
  </si>
  <si>
    <t>THPT Trần Văn Giàu</t>
  </si>
  <si>
    <t>THPT Hoàng Hoa Thám</t>
  </si>
  <si>
    <t>THPT Gò Vấp</t>
  </si>
  <si>
    <t>THPT Nguyễn Công Trứ</t>
  </si>
  <si>
    <t>THPT Trần Hưng Đạo</t>
  </si>
  <si>
    <t>THPT Nguyễn Trung Trực</t>
  </si>
  <si>
    <t>THPT Phú Nhuận</t>
  </si>
  <si>
    <t>THPT Hàn Thuyên</t>
  </si>
  <si>
    <t>THPT Tân Bình</t>
  </si>
  <si>
    <t>THPT Nguyễn Chí Thanh</t>
  </si>
  <si>
    <t>THPT Trần Phú</t>
  </si>
  <si>
    <t>THPT Nguyễn Thượng Hiền</t>
  </si>
  <si>
    <t>THPT Nguyễn Thái Bình</t>
  </si>
  <si>
    <t>THPT Nguyễn Hữu Huân</t>
  </si>
  <si>
    <t>THPT Thủ Đức</t>
  </si>
  <si>
    <t>THPT Tam Phú</t>
  </si>
  <si>
    <t>THPT Hiệp Bình</t>
  </si>
  <si>
    <t>THPT Đào Sơn Tây</t>
  </si>
  <si>
    <t>THPT Linh Trung</t>
  </si>
  <si>
    <t>THPT Bình Chiểu</t>
  </si>
  <si>
    <t>THPT Bình Chánh</t>
  </si>
  <si>
    <t>THPT Tân Túc</t>
  </si>
  <si>
    <t>THPT Vĩnh Lộc B</t>
  </si>
  <si>
    <t>Phổ thông Năng khiếu TDTT Bình Chánh</t>
  </si>
  <si>
    <t>THPT Phong Phú</t>
  </si>
  <si>
    <t>THPT Lê Minh Xuân</t>
  </si>
  <si>
    <t>THPT Đa Phước</t>
  </si>
  <si>
    <t>THPT Bình Khánh</t>
  </si>
  <si>
    <t>THPT Cần Thạnh</t>
  </si>
  <si>
    <t>THPT An Nghĩa</t>
  </si>
  <si>
    <t>THPT Củ Chi</t>
  </si>
  <si>
    <t>THPT Quang Trung</t>
  </si>
  <si>
    <t>THPT An Nhơn Tây</t>
  </si>
  <si>
    <t>THPT Trung Phú</t>
  </si>
  <si>
    <t>THPT Trung Lập</t>
  </si>
  <si>
    <t>THPT Phú Hòa</t>
  </si>
  <si>
    <t>THPT Tân Thông Hội</t>
  </si>
  <si>
    <t>THPT Nguyễn Hữu Cầu</t>
  </si>
  <si>
    <t>THPT Lý Thường Kiệt</t>
  </si>
  <si>
    <t>THPT Bà Điểm</t>
  </si>
  <si>
    <t>THPT Nguyễn Văn Cừ</t>
  </si>
  <si>
    <t>THPT Nguyễn Hữu Tiến</t>
  </si>
  <si>
    <t>THPT Phạm Văn Sáng</t>
  </si>
  <si>
    <t>THPT Hồ Thị Bi</t>
  </si>
  <si>
    <t>THPT Long Thới</t>
  </si>
  <si>
    <t>THPT Phước Kiển</t>
  </si>
  <si>
    <t>THPT Dương Văn Dương</t>
  </si>
  <si>
    <t>THPT Tây Thạnh</t>
  </si>
  <si>
    <t>THPT Lê Trọng Tấn</t>
  </si>
  <si>
    <t>THPT Thoại Ngọc Hầu</t>
  </si>
  <si>
    <t>THPT Vĩnh Lộc</t>
  </si>
  <si>
    <t>THPT Nguyễn Hữu Cảnh</t>
  </si>
  <si>
    <t>THPT Bình Hưng Hòa</t>
  </si>
  <si>
    <t>THPT Bình Tân</t>
  </si>
  <si>
    <t>THPT An Lạc</t>
  </si>
  <si>
    <t>Bình Dương cũ</t>
  </si>
  <si>
    <t>THPT Lý Thái Tổ</t>
  </si>
  <si>
    <t>THPT Lê Lợi</t>
  </si>
  <si>
    <t>THPT Dĩ An</t>
  </si>
  <si>
    <t>THPT Võ Minh Đức</t>
  </si>
  <si>
    <t>THCS và THPT Minh Hòa</t>
  </si>
  <si>
    <t>THPT Bình An</t>
  </si>
  <si>
    <t>THPT Nguyễn Đình Chiểu</t>
  </si>
  <si>
    <t>THPT Trịnh Hoài Đức</t>
  </si>
  <si>
    <t>THPT Huỳnh Văn Nghệ</t>
  </si>
  <si>
    <t>THPT Phước Vĩnh</t>
  </si>
  <si>
    <t>THPT Bến Cát</t>
  </si>
  <si>
    <t>THPT Dầu Tiếng</t>
  </si>
  <si>
    <t>THPT Trần Văn Ơn</t>
  </si>
  <si>
    <t>THCS và THPT Tây Sơn</t>
  </si>
  <si>
    <t>THCS và THPT Nguyễn Huệ</t>
  </si>
  <si>
    <t>THPT Tây Nam</t>
  </si>
  <si>
    <t>THPT Tân Phước Khánh</t>
  </si>
  <si>
    <t>THPT Thái Hòa</t>
  </si>
  <si>
    <t>THPT An Mỹ</t>
  </si>
  <si>
    <t>THPT Phước Hòa</t>
  </si>
  <si>
    <t>THPT Bàu Bàng</t>
  </si>
  <si>
    <t>THPT Long Hòa</t>
  </si>
  <si>
    <t>THPT Thường Tân</t>
  </si>
  <si>
    <t>THPT Thanh Tuyền</t>
  </si>
  <si>
    <t>THPT Hà Huy Tập</t>
  </si>
  <si>
    <t>Bà Rịa - Vũng Tàu cũ</t>
  </si>
  <si>
    <t>THPT Vũng Tàu</t>
  </si>
  <si>
    <t>THPT Châu Thành</t>
  </si>
  <si>
    <t>THPT Xuyên Mộc</t>
  </si>
  <si>
    <t>THPT Phú Mỹ</t>
  </si>
  <si>
    <t>THPT Hắc Dịch</t>
  </si>
  <si>
    <t>THPT Trần Văn Quan</t>
  </si>
  <si>
    <t>THPT Hòa Hội</t>
  </si>
  <si>
    <t>THPT Nguyễn Bỉnh Khiêm</t>
  </si>
  <si>
    <t>THPT Phước Bửu</t>
  </si>
  <si>
    <t>THPT Long Hải - Phước Tỉnh</t>
  </si>
  <si>
    <t>THPT Minh Đạm</t>
  </si>
  <si>
    <t>THPT Đinh Tiên Hoàng</t>
  </si>
  <si>
    <t>THPT Trần Nguyên Hãn</t>
  </si>
  <si>
    <t>THPT Hòa Bình</t>
  </si>
  <si>
    <t>THPT Dương Bạch Mai</t>
  </si>
  <si>
    <t>THPT Bà Rịa</t>
  </si>
  <si>
    <t>THPT Bưng Riềng</t>
  </si>
  <si>
    <t>THPT Võ Nguyên Giáp</t>
  </si>
  <si>
    <t>THPT Hoàng Thế Thiện (trường Bình Trị Đông B trước)</t>
  </si>
  <si>
    <t>Trường</t>
  </si>
  <si>
    <t>CT 2024</t>
  </si>
  <si>
    <t>Đăng ký 2024</t>
  </si>
  <si>
    <t>CT 2025</t>
  </si>
  <si>
    <t>Đăng ký 2025</t>
  </si>
  <si>
    <t>CT 2026</t>
  </si>
  <si>
    <t>Đăng ký 2026</t>
  </si>
  <si>
    <t>THPT chuyên Lê Hồng Phong</t>
  </si>
  <si>
    <t>THPT chuyên Trần Đại Nghĩa</t>
  </si>
  <si>
    <t>THPT chuyên Lê Quý Đôn – Vũng Tàu</t>
  </si>
  <si>
    <t>THPT chuyên Hùng Vương – Bình Dương</t>
  </si>
  <si>
    <t>—</t>
  </si>
  <si>
    <t>tỷ lệ chọi</t>
  </si>
  <si>
    <t>Môn chuyên/chương trình</t>
  </si>
  <si>
    <t>LHP</t>
  </si>
  <si>
    <t>Tiếng Anh</t>
  </si>
  <si>
    <t>37,00</t>
  </si>
  <si>
    <t>35,50</t>
  </si>
  <si>
    <t>36,25</t>
  </si>
  <si>
    <t>Tiếng Anh – Đề án 5695</t>
  </si>
  <si>
    <t>37,50</t>
  </si>
  <si>
    <t>35,75</t>
  </si>
  <si>
    <t>37,75</t>
  </si>
  <si>
    <t>Địa lí</t>
  </si>
  <si>
    <t>34,00</t>
  </si>
  <si>
    <t>31,50</t>
  </si>
  <si>
    <t>34,50</t>
  </si>
  <si>
    <t>Hóa học</t>
  </si>
  <si>
    <t>35,00</t>
  </si>
  <si>
    <t>32,50</t>
  </si>
  <si>
    <t>38,50</t>
  </si>
  <si>
    <t>Vật lí</t>
  </si>
  <si>
    <t>30,75</t>
  </si>
  <si>
    <t>34,25</t>
  </si>
  <si>
    <t>Tiếng Nhật</t>
  </si>
  <si>
    <t>30,00</t>
  </si>
  <si>
    <t>Tiếng Pháp</t>
  </si>
  <si>
    <t>31,00</t>
  </si>
  <si>
    <t>31,25</t>
  </si>
  <si>
    <t>Sinh học</t>
  </si>
  <si>
    <t>34,75</t>
  </si>
  <si>
    <t>39,25</t>
  </si>
  <si>
    <t>Lịch sử</t>
  </si>
  <si>
    <t>27,00</t>
  </si>
  <si>
    <t>30,50</t>
  </si>
  <si>
    <t>33,25</t>
  </si>
  <si>
    <t>Tin học</t>
  </si>
  <si>
    <t>37,25</t>
  </si>
  <si>
    <t>32,25</t>
  </si>
  <si>
    <t>33,00</t>
  </si>
  <si>
    <t>Toán</t>
  </si>
  <si>
    <t>Tiếng Trung</t>
  </si>
  <si>
    <t>28,50</t>
  </si>
  <si>
    <t>32,75</t>
  </si>
  <si>
    <t>Ngữ văn</t>
  </si>
  <si>
    <t>36,00</t>
  </si>
  <si>
    <t>36,75</t>
  </si>
  <si>
    <t>TĐN</t>
  </si>
  <si>
    <t>28,00</t>
  </si>
  <si>
    <t>29,50</t>
  </si>
  <si>
    <t>32,00</t>
  </si>
  <si>
    <t>30,25</t>
  </si>
  <si>
    <t>36,50</t>
  </si>
  <si>
    <t>33,50</t>
  </si>
  <si>
    <t>24,75</t>
  </si>
  <si>
    <t>31,75</t>
  </si>
  <si>
    <t>35,25</t>
  </si>
  <si>
    <t>HV</t>
  </si>
  <si>
    <t>34,05</t>
  </si>
  <si>
    <t>34,40</t>
  </si>
  <si>
    <t>31,05</t>
  </si>
  <si>
    <t>26,00</t>
  </si>
  <si>
    <t>33,20</t>
  </si>
  <si>
    <t>34,55</t>
  </si>
  <si>
    <t>32,80</t>
  </si>
  <si>
    <t>30,15</t>
  </si>
  <si>
    <t>28,25</t>
  </si>
  <si>
    <t>32,60</t>
  </si>
  <si>
    <t>29,85</t>
  </si>
  <si>
    <t>24,30</t>
  </si>
  <si>
    <t>33,80</t>
  </si>
  <si>
    <t>29,45</t>
  </si>
  <si>
    <t>34,10</t>
  </si>
  <si>
    <t>36,45</t>
  </si>
  <si>
    <t>30,60</t>
  </si>
  <si>
    <t>31,40</t>
  </si>
  <si>
    <t>LQĐ</t>
  </si>
  <si>
    <t>35,20</t>
  </si>
  <si>
    <t>36,10</t>
  </si>
  <si>
    <t>35,65</t>
  </si>
  <si>
    <t>32,02</t>
  </si>
  <si>
    <t>37,77</t>
  </si>
  <si>
    <t>38,25</t>
  </si>
  <si>
    <t>`</t>
  </si>
  <si>
    <t>Điểm chuẩn 2024</t>
  </si>
  <si>
    <t>Điểm chuẩn 2025</t>
  </si>
  <si>
    <t>Điểm chuẩn 2026</t>
  </si>
  <si>
    <t>Mã tổ hợp thường gặp</t>
  </si>
  <si>
    <t>Môn xét tuyển</t>
  </si>
  <si>
    <t>Phù hợp nhóm ngành</t>
  </si>
  <si>
    <t>Khối A – tự nhiên, kỹ thuật, kinh tế</t>
  </si>
  <si>
    <t>A00</t>
  </si>
  <si>
    <t>Toán, Vật lí, Hóa học</t>
  </si>
  <si>
    <t>Kỹ thuật, công nghệ, kinh tế, tài chính, xây dựng, y dược một số trường</t>
  </si>
  <si>
    <t>A01</t>
  </si>
  <si>
    <t>Toán, Vật lí, Tiếng Anh</t>
  </si>
  <si>
    <t>CNTT, kỹ thuật, kinh tế, logistics, quản trị</t>
  </si>
  <si>
    <t>A02</t>
  </si>
  <si>
    <t>Toán, Vật lí, Sinh học</t>
  </si>
  <si>
    <t>Kỹ thuật y sinh, môi trường, nông nghiệp, sinh học</t>
  </si>
  <si>
    <t>A04</t>
  </si>
  <si>
    <t>Toán, Vật lí, Địa lí</t>
  </si>
  <si>
    <t>Kỹ thuật, địa lý, quy hoạch, môi trường</t>
  </si>
  <si>
    <t>A05</t>
  </si>
  <si>
    <t>Toán, Hóa học, Lịch sử</t>
  </si>
  <si>
    <t>Một số ngành xã hội – tự nhiên giao thoa</t>
  </si>
  <si>
    <t>A06</t>
  </si>
  <si>
    <t>Toán, Hóa học, Địa lí</t>
  </si>
  <si>
    <t>Môi trường, nông nghiệp, địa lý, tài nguyên</t>
  </si>
  <si>
    <t>Khối B – y sinh, sức khỏe, nông nghiệp</t>
  </si>
  <si>
    <t>B00</t>
  </si>
  <si>
    <t>Toán, Hóa học, Sinh học</t>
  </si>
  <si>
    <t>Y, dược, điều dưỡng, xét nghiệm, công nghệ sinh học</t>
  </si>
  <si>
    <t>B08</t>
  </si>
  <si>
    <t>Toán, Sinh học, Tiếng Anh</t>
  </si>
  <si>
    <t>Y sinh, công nghệ sinh học, điều dưỡng, môi trường</t>
  </si>
  <si>
    <t>B02</t>
  </si>
  <si>
    <t>Toán, Sinh học, Địa lí</t>
  </si>
  <si>
    <t>Môi trường, nông nghiệp, tài nguyên</t>
  </si>
  <si>
    <t>B04/X13</t>
  </si>
  <si>
    <t>Toán, Sinh học, GDKT&amp;PL</t>
  </si>
  <si>
    <t>Một số ngành sức khỏe, sinh học, giáo dục, xã hội ứng dụng</t>
  </si>
  <si>
    <t>Khối C – xã hội, luật, sư phạm, báo chí</t>
  </si>
  <si>
    <t>C00</t>
  </si>
  <si>
    <t>Ngữ văn, Lịch sử, Địa lí</t>
  </si>
  <si>
    <t>Luật, báo chí, sư phạm, xã hội học, quản lý nhà nước</t>
  </si>
  <si>
    <t>C01</t>
  </si>
  <si>
    <t>Ngữ văn, Toán, Vật lí</t>
  </si>
  <si>
    <t>Kỹ thuật, quản lý, kinh tế ở một số trường</t>
  </si>
  <si>
    <t>C02</t>
  </si>
  <si>
    <t>Ngữ văn, Toán, Hóa học</t>
  </si>
  <si>
    <t>Sức khỏe, môi trường, công nghệ thực phẩm, kinh tế</t>
  </si>
  <si>
    <t>C03</t>
  </si>
  <si>
    <t>Ngữ văn, Toán, Lịch sử</t>
  </si>
  <si>
    <t>Luật, quản lý nhà nước, hành chính, xã hội</t>
  </si>
  <si>
    <t>C04</t>
  </si>
  <si>
    <t>Ngữ văn, Toán, Địa lí</t>
  </si>
  <si>
    <t>Kinh tế, quản trị, du lịch, luật, truyền thông</t>
  </si>
  <si>
    <t>C14</t>
  </si>
  <si>
    <t>Ngữ văn, Toán, GDKT&amp;PL</t>
  </si>
  <si>
    <t>Luật, quản lý nhà nước, kinh tế, hành chính</t>
  </si>
  <si>
    <t>Khối D – ngoại ngữ, kinh tế, xã hội, truyền thông</t>
  </si>
  <si>
    <t>D01</t>
  </si>
  <si>
    <t>Toán, Ngữ văn, Tiếng Anh</t>
  </si>
  <si>
    <t>Rất rộng: kinh tế, luật, ngôn ngữ, truyền thông, quản trị</t>
  </si>
  <si>
    <t>D07</t>
  </si>
  <si>
    <t>Toán, Hóa học, Tiếng Anh</t>
  </si>
  <si>
    <t>Y dược, kỹ thuật hóa, công nghệ thực phẩm, kinh tế</t>
  </si>
  <si>
    <t>D08</t>
  </si>
  <si>
    <t>Y sinh, môi trường, sinh học, nông nghiệp</t>
  </si>
  <si>
    <t>D09</t>
  </si>
  <si>
    <t>Toán, Lịch sử, Tiếng Anh</t>
  </si>
  <si>
    <t>Luật, xã hội, quan hệ quốc tế, truyền thông</t>
  </si>
  <si>
    <t>D10</t>
  </si>
  <si>
    <t>Toán, Địa lí, Tiếng Anh</t>
  </si>
  <si>
    <t>Du lịch, logistics, kinh tế, địa lý, quản trị</t>
  </si>
  <si>
    <t>D14</t>
  </si>
  <si>
    <t>Ngữ văn, Lịch sử, Tiếng Anh</t>
  </si>
  <si>
    <t>Báo chí, luật, sư phạm, quan hệ quốc tế</t>
  </si>
  <si>
    <t>D15</t>
  </si>
  <si>
    <t>Ngữ văn, Địa lí, Tiếng Anh</t>
  </si>
  <si>
    <t>Du lịch, truyền thông, xã hội, ngôn ngữ</t>
  </si>
  <si>
    <t>D03, D04, D05, D06</t>
  </si>
  <si>
    <t>Văn, Toán, Pháp/Trung/Đức/Nhật</t>
  </si>
  <si>
    <t>Nhóm ngành ngôn ngữ, quốc tế học, du lịch</t>
  </si>
  <si>
    <t>Khối K/X mới – Tin học, Công nghệ, GDKT&amp;PL</t>
  </si>
  <si>
    <t>X26/K01</t>
  </si>
  <si>
    <t>Toán, Tiếng Anh, Tin học</t>
  </si>
  <si>
    <t>CNTT, khoa học dữ liệu, AI, thương mại điện tử</t>
  </si>
  <si>
    <t>X25</t>
  </si>
  <si>
    <t>Toán, Tiếng Anh, GDKT&amp;PL</t>
  </si>
  <si>
    <t>Kinh tế, luật, quản trị, tài chính</t>
  </si>
  <si>
    <t>X21</t>
  </si>
  <si>
    <t>Toán, Địa lí, GDKT&amp;PL</t>
  </si>
  <si>
    <t>Kinh tế, luật, du lịch, quản lý nhà nước</t>
  </si>
  <si>
    <t>X05/A10</t>
  </si>
  <si>
    <t>Toán, Vật lí, GDKT&amp;PL</t>
  </si>
  <si>
    <t>Kỹ thuật – quản lý, kinh tế kỹ thuật</t>
  </si>
  <si>
    <t>X09/A11</t>
  </si>
  <si>
    <t>Toán, Hóa học, GDKT&amp;PL</t>
  </si>
  <si>
    <t>Kinh tế, công nghệ thực phẩm, môi trường</t>
  </si>
  <si>
    <t>X22</t>
  </si>
  <si>
    <t>Toán, Địa lí, Tin học</t>
  </si>
  <si>
    <t>Logistics, địa lý, du lịch số, kinh tế số</t>
  </si>
  <si>
    <t>X23/X24</t>
  </si>
  <si>
    <t>Toán, Địa lí, Công nghệ</t>
  </si>
  <si>
    <t>Công nghệ, nông nghiệp, quy hoạch, tài nguyên</t>
  </si>
  <si>
    <t>Khối V/H – kiến trúc, mỹ thuật, thiết kế</t>
  </si>
  <si>
    <t>V00</t>
  </si>
  <si>
    <t>Toán, Vật lí, Vẽ mỹ thuật</t>
  </si>
  <si>
    <t>Kiến trúc, quy hoạch, thiết kế nội thất</t>
  </si>
  <si>
    <t>V01</t>
  </si>
  <si>
    <t>Toán, Ngữ văn, Vẽ mỹ thuật</t>
  </si>
  <si>
    <t>Kiến trúc, mỹ thuật ứng dụng</t>
  </si>
  <si>
    <t>V02</t>
  </si>
  <si>
    <t>Toán, Tiếng Anh, Vẽ mỹ thuật</t>
  </si>
  <si>
    <t>Kiến trúc, thiết kế, quy hoạch</t>
  </si>
  <si>
    <t>H00</t>
  </si>
  <si>
    <t>Ngữ văn, Năng khiếu vẽ 1, Năng khiếu vẽ 2</t>
  </si>
  <si>
    <t>Mỹ thuật, thiết kế đồ họa, thời trang</t>
  </si>
  <si>
    <t>H01</t>
  </si>
  <si>
    <t>Thiết kế, mỹ thuật ứng dụng</t>
  </si>
  <si>
    <t>H06</t>
  </si>
  <si>
    <t>Ngữ văn, Tiếng Anh, Vẽ mỹ thuật</t>
  </si>
  <si>
    <t>Thiết kế, truyền thông thị giác</t>
  </si>
  <si>
    <t>Khối M/N/S/T – năng khiếu</t>
  </si>
  <si>
    <t>M00</t>
  </si>
  <si>
    <t>Ngữ văn, Toán, Đọc diễn cảm/Hát</t>
  </si>
  <si>
    <t>Giáo dục mầm non</t>
  </si>
  <si>
    <t>M01, M09</t>
  </si>
  <si>
    <t>Văn/Toán + năng khiếu</t>
  </si>
  <si>
    <t>Giáo dục mầm non, giáo dục tiểu học một số trường</t>
  </si>
  <si>
    <t>N00, N01</t>
  </si>
  <si>
    <t>Ngữ văn + năng khiếu âm nhạc</t>
  </si>
  <si>
    <t>Âm nhạc, sư phạm âm nhạc</t>
  </si>
  <si>
    <t>S00</t>
  </si>
  <si>
    <t>Ngữ văn + năng khiếu sân khấu/điện ảnh</t>
  </si>
  <si>
    <t>Sân khấu, điện ảnh, diễn viên, đạo diễn</t>
  </si>
  <si>
    <t>T00, T01, T03, T04</t>
  </si>
  <si>
    <t>Toán/Văn/Sinh/Lý + năng khiếu TDTT</t>
  </si>
  <si>
    <t>Giáo dục thể chất, huấn luyện thể thao</t>
  </si>
  <si>
    <t>Mức</t>
  </si>
  <si>
    <t>Khuyến nghị</t>
  </si>
  <si>
    <t>Rất đam mê</t>
  </si>
  <si>
    <t>Mức 4</t>
  </si>
  <si>
    <t>I. THANG ĐÁNH GIÁ NĂNG LỰC HỌC TẬP – Y</t>
  </si>
  <si>
    <t>Khoảng điểm Y</t>
  </si>
  <si>
    <t>Tiêu đề mức năng lực</t>
  </si>
  <si>
    <t>Mức 10</t>
  </si>
  <si>
    <t>9,5 ≤ Y ≤ 10,0</t>
  </si>
  <si>
    <t>Năng lực vượt trội</t>
  </si>
  <si>
    <t>Rất phù hợp; ưu tiên lựa chọn môn hoặc tổ hợp này.</t>
  </si>
  <si>
    <t>Mức 9</t>
  </si>
  <si>
    <t>9,0 ≤ Y &lt; 9,5</t>
  </si>
  <si>
    <t>Năng lực xuất sắc</t>
  </si>
  <si>
    <t>Phù hợp cao; khuyến khích lựa chọn môn hoặc tổ hợp này.</t>
  </si>
  <si>
    <t>Mức 8</t>
  </si>
  <si>
    <t>8,5 ≤ Y &lt; 9,0</t>
  </si>
  <si>
    <t>Năng lực rất tốt</t>
  </si>
  <si>
    <t>Có nền tảng vững chắc; khuyến khích lựa chọn.</t>
  </si>
  <si>
    <t>Mức 7</t>
  </si>
  <si>
    <t>8,0 ≤ Y &lt; 8,5</t>
  </si>
  <si>
    <t>Năng lực tốt</t>
  </si>
  <si>
    <t>Phù hợp; có khả năng phát triển tốt nếu tiếp tục đầu tư.</t>
  </si>
  <si>
    <t>Mức 6</t>
  </si>
  <si>
    <t>7,5 ≤ Y &lt; 8,0</t>
  </si>
  <si>
    <t>Năng lực khá tốt</t>
  </si>
  <si>
    <t>Có thể lựa chọn, nhưng cần tiếp tục củng cố kiến thức và kỹ năng.</t>
  </si>
  <si>
    <t>Mức 5</t>
  </si>
  <si>
    <t>7,0 ≤ Y &lt; 7,5</t>
  </si>
  <si>
    <t>Năng lực khá</t>
  </si>
  <si>
    <t>Có thể cân nhắc lựa chọn; cần xây dựng kế hoạch cải thiện rõ ràng.</t>
  </si>
  <si>
    <t>6,5 ≤ Y &lt; 7,0</t>
  </si>
  <si>
    <t>Năng lực trung bình khá</t>
  </si>
  <si>
    <t>Cần cân nhắc kỹ, đánh giá thêm mức độ đam mê và khả năng tiến bộ.</t>
  </si>
  <si>
    <t>Mức 3</t>
  </si>
  <si>
    <t>6,0 ≤ Y &lt; 6,5</t>
  </si>
  <si>
    <t>Năng lực trung bình</t>
  </si>
  <si>
    <t>Chưa nên ưu tiên; chỉ lựa chọn khi có đam mê cao và quyết tâm cải thiện.</t>
  </si>
  <si>
    <t>Mức 2</t>
  </si>
  <si>
    <t>5,0 ≤ Y &lt; 6,0</t>
  </si>
  <si>
    <t>Năng lực còn hạn chế</t>
  </si>
  <si>
    <t>Không nên lựa chọn làm tổ hợp hoặc định hướng chính.</t>
  </si>
  <si>
    <t>Mức 1</t>
  </si>
  <si>
    <t>Y &lt; 5,0</t>
  </si>
  <si>
    <t>Năng lực chưa đáp ứng</t>
  </si>
  <si>
    <t>Nên loại khỏi nhóm ưu tiên, trừ trường hợp có kế hoạch bồi dưỡng đặc biệt.</t>
  </si>
  <si>
    <r>
      <t>Y</t>
    </r>
    <r>
      <rPr>
        <sz val="11"/>
        <color theme="1"/>
        <rFont val="Calibri"/>
        <family val="2"/>
        <scheme val="minor"/>
      </rPr>
      <t xml:space="preserve"> là điểm đánh giá năng lực học tập đối với từng môn học, lĩnh vực hoặc tổ hợp môn.</t>
    </r>
  </si>
  <si>
    <t>II. THANG ĐÁNH GIÁ MỨC ĐỘ ĐAM MÊ – X</t>
  </si>
  <si>
    <t>Tiêu đề mức đam mê</t>
  </si>
  <si>
    <t>Biểu hiện và khuyến nghị</t>
  </si>
  <si>
    <t>Đam mê mãnh liệt</t>
  </si>
  <si>
    <t>Luôn chủ động tìm hiểu, sẵn sàng dành nhiều thời gian và mong muốn gắn bó lâu dài.</t>
  </si>
  <si>
    <t>Có hứng thú sâu sắc, thường xuyên tự học và mong muốn phát triển thành thế mạnh.</t>
  </si>
  <si>
    <t>Đam mê rõ ràng</t>
  </si>
  <si>
    <t>Rất thích, có động lực học tập và chủ động tham gia các hoạt động liên quan.</t>
  </si>
  <si>
    <t>Yêu thích</t>
  </si>
  <si>
    <t>Cảm thấy hứng thú, học tập tích cực và có mong muốn tìm hiểu thêm.</t>
  </si>
  <si>
    <t>Khá yêu thích</t>
  </si>
  <si>
    <t>Có thiện cảm và hứng thú tương đối, nhưng mức độ đầu tư chưa thường xuyên.</t>
  </si>
  <si>
    <t>Có quan tâm</t>
  </si>
  <si>
    <t>Không bài xích, có thể học hoặc thực hiện khi có mục tiêu và sự hướng dẫn.</t>
  </si>
  <si>
    <t>Ít hứng thú</t>
  </si>
  <si>
    <t>Chỉ quan tâm ở mức hạn chế, chưa có động lực tự thân rõ ràng.</t>
  </si>
  <si>
    <t>Không yêu thích</t>
  </si>
  <si>
    <t>Thường thiếu động lực, ít chủ động và dễ mất tập trung khi học hoặc thực hiện.</t>
  </si>
  <si>
    <t>Rất ít hứng thú</t>
  </si>
  <si>
    <t>Cảm thấy miễn cưỡng, khó duy trì sự tập trung và không muốn đầu tư thời gian.</t>
  </si>
  <si>
    <t>Không có đam mê</t>
  </si>
  <si>
    <t>Không hứng thú, có xu hướng né tránh và không mong muốn theo đuổi lâu dài.</t>
  </si>
  <si>
    <r>
      <t>X</t>
    </r>
    <r>
      <rPr>
        <sz val="11"/>
        <color theme="1"/>
        <rFont val="Calibri"/>
        <family val="2"/>
        <scheme val="minor"/>
      </rPr>
      <t xml:space="preserve"> là điểm đánh giá mức độ đam mê, yêu thích hoặc động lực cá nhân đối với từng môn học, lĩnh vực hoặc nghề nghiệp.</t>
    </r>
  </si>
  <si>
    <t>III. GỢI Ý KẾT HỢP NĂNG LỰC VÀ ĐAM MÊ THEO IKIGAI</t>
  </si>
  <si>
    <t>Năng lực Y</t>
  </si>
  <si>
    <t>Đam mê X</t>
  </si>
  <si>
    <t>Nhận định</t>
  </si>
  <si>
    <t>Cao</t>
  </si>
  <si>
    <r>
      <t>Vùng Ikigai ưu tiên</t>
    </r>
    <r>
      <rPr>
        <sz val="11"/>
        <color theme="1"/>
        <rFont val="Calibri"/>
        <family val="2"/>
        <scheme val="minor"/>
      </rPr>
      <t>: phù hợp để lựa chọn tổ hợp môn, ngành học và nghề nghiệp lâu dài.</t>
    </r>
  </si>
  <si>
    <t>Thấp</t>
  </si>
  <si>
    <t>Có khả năng nhưng thiếu động lực; cần cân nhắc khả năng duy trì lâu dài.</t>
  </si>
  <si>
    <t>Có đam mê nhưng năng lực chưa đáp ứng; có thể lựa chọn nếu có kế hoạch bồi dưỡng cụ thể.</t>
  </si>
  <si>
    <t>Không phù hợp; nên loại khỏi nhóm định hướng ưu tiên.</t>
  </si>
  <si>
    <t>Môn lựa chọn</t>
  </si>
  <si>
    <t>Tính chất định hướng</t>
  </si>
  <si>
    <t>Xã hội, kinh tế, du lịch, môi trường, quy hoạch</t>
  </si>
  <si>
    <t>Giáo dục kinh tế và pháp luật</t>
  </si>
  <si>
    <t>Kinh tế, luật, quản lý nhà nước, tài chính, kinh doanh</t>
  </si>
  <si>
    <t>Kỹ thuật, công nghệ, cơ khí, điện – điện tử, CNTT</t>
  </si>
  <si>
    <t>Y dược, công nghệ sinh học, môi trường, thực phẩm, kỹ thuật hóa</t>
  </si>
  <si>
    <t>Y khoa, dược, điều dưỡng, sinh học, nông nghiệp, môi trường</t>
  </si>
  <si>
    <t>Công nghệ</t>
  </si>
  <si>
    <t>Kỹ thuật, thiết kế, sản xuất, nông nghiệp/công nghiệp ứng dụng</t>
  </si>
  <si>
    <t>CNTT, dữ liệu, AI, kinh tế số, thương mại điện tử</t>
  </si>
  <si>
    <t>Âm nhạc</t>
  </si>
  <si>
    <t>Nghệ thuật, sư phạm âm nhạc, truyền thông sáng tạo</t>
  </si>
  <si>
    <t>Mĩ thuật</t>
  </si>
  <si>
    <t>Thiết kế, kiến trúc, mỹ thuật ứng dụng, truyền thông đa phương tiện</t>
  </si>
  <si>
    <t>IV. Định hướng lựa chọn môn học</t>
  </si>
  <si>
    <t>Trung học thực hành Sài Gòn</t>
  </si>
  <si>
    <t xml:space="preserve">Ngành nghề </t>
  </si>
  <si>
    <t>Dự kiến ĐK NV1 2027</t>
  </si>
  <si>
    <t>Chỉ tiêu Dự kiến 2027</t>
  </si>
  <si>
    <t>r (thành phố) năm 2027</t>
  </si>
  <si>
    <t>Tỷ lệ chọi dư kiên 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</si>
</sst>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_(* #,##0_);_(* \(#,##0\);_(* &quot;-&quot;??_);_(@_)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rlito"/>
    </font>
    <font>
      <b/>
      <sz val="11"/>
      <color rgb="FFFFFFFF"/>
      <name val="Carlito"/>
    </font>
    <font>
      <b/>
      <sz val="11"/>
      <color rgb="FFFF0000"/>
      <name val="Carlito"/>
    </font>
    <font>
      <sz val="11"/>
      <color rgb="FFFF0000"/>
      <name val="Carlito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Times New Roman"/>
      <family val="1"/>
    </font>
    <font>
      <sz val="13"/>
      <color theme="1"/>
      <name val="Times New Roman"/>
      <family val="1"/>
    </font>
    <font>
      <b/>
      <sz val="18"/>
      <color theme="1"/>
      <name val="Calibri"/>
      <family val="2"/>
      <scheme val="minor"/>
    </font>
    <font>
      <b/>
      <sz val="13"/>
      <color theme="1"/>
      <name val="Times New Roman"/>
      <family val="1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1"/>
      <color theme="0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8">
    <xf numFmtId="0" fontId="0" fillId="0" borderId="0"/>
    <xf numFmtId="164" fontId="1" fillId="0" borderId="0" applyFont="0" applyFill="0" applyBorder="0" applyAlignment="0" applyProtection="0"/>
    <xf numFmtId="0" fontId="4" fillId="0" borderId="0"/>
    <xf numFmtId="41" fontId="1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</cellStyleXfs>
  <cellXfs count="72">
    <xf numFmtId="0" fontId="0" fillId="0" borderId="0" xfId="0"/>
    <xf numFmtId="0" fontId="4" fillId="0" borderId="0" xfId="2" applyAlignment="1">
      <alignment vertical="top" wrapText="1"/>
    </xf>
    <xf numFmtId="2" fontId="4" fillId="0" borderId="0" xfId="2" applyNumberFormat="1" applyAlignment="1">
      <alignment vertical="top" wrapText="1"/>
    </xf>
    <xf numFmtId="1" fontId="4" fillId="0" borderId="0" xfId="2" applyNumberFormat="1" applyAlignment="1">
      <alignment vertical="top" wrapText="1"/>
    </xf>
    <xf numFmtId="0" fontId="5" fillId="2" borderId="0" xfId="2" applyFont="1" applyFill="1" applyAlignment="1">
      <alignment horizontal="center" vertical="top" wrapText="1"/>
    </xf>
    <xf numFmtId="1" fontId="4" fillId="0" borderId="0" xfId="2" applyNumberFormat="1" applyAlignment="1">
      <alignment vertical="top"/>
    </xf>
    <xf numFmtId="2" fontId="4" fillId="0" borderId="0" xfId="2" applyNumberFormat="1" applyAlignment="1">
      <alignment vertical="top"/>
    </xf>
    <xf numFmtId="0" fontId="6" fillId="2" borderId="0" xfId="2" applyFont="1" applyFill="1" applyAlignment="1">
      <alignment horizontal="center" vertical="top" wrapText="1"/>
    </xf>
    <xf numFmtId="0" fontId="8" fillId="0" borderId="0" xfId="0" applyFont="1"/>
    <xf numFmtId="0" fontId="6" fillId="3" borderId="0" xfId="2" applyFont="1" applyFill="1" applyAlignment="1">
      <alignment vertical="top" wrapText="1"/>
    </xf>
    <xf numFmtId="2" fontId="6" fillId="3" borderId="0" xfId="2" applyNumberFormat="1" applyFont="1" applyFill="1" applyAlignment="1">
      <alignment vertical="top" wrapText="1"/>
    </xf>
    <xf numFmtId="1" fontId="6" fillId="3" borderId="0" xfId="2" applyNumberFormat="1" applyFont="1" applyFill="1" applyAlignment="1">
      <alignment vertical="top"/>
    </xf>
    <xf numFmtId="2" fontId="6" fillId="3" borderId="0" xfId="2" applyNumberFormat="1" applyFont="1" applyFill="1" applyAlignment="1">
      <alignment vertical="top"/>
    </xf>
    <xf numFmtId="0" fontId="9" fillId="3" borderId="0" xfId="0" applyFont="1" applyFill="1"/>
    <xf numFmtId="0" fontId="7" fillId="3" borderId="0" xfId="2" applyFont="1" applyFill="1" applyAlignment="1">
      <alignment vertical="top" wrapText="1"/>
    </xf>
    <xf numFmtId="2" fontId="7" fillId="3" borderId="0" xfId="2" applyNumberFormat="1" applyFont="1" applyFill="1" applyAlignment="1">
      <alignment vertical="top" wrapText="1"/>
    </xf>
    <xf numFmtId="1" fontId="7" fillId="3" borderId="0" xfId="2" applyNumberFormat="1" applyFont="1" applyFill="1" applyAlignment="1">
      <alignment vertical="top"/>
    </xf>
    <xf numFmtId="2" fontId="7" fillId="3" borderId="0" xfId="2" applyNumberFormat="1" applyFont="1" applyFill="1" applyAlignment="1">
      <alignment vertical="top"/>
    </xf>
    <xf numFmtId="0" fontId="2" fillId="3" borderId="0" xfId="0" applyFont="1" applyFill="1"/>
    <xf numFmtId="0" fontId="0" fillId="0" borderId="0" xfId="0" applyAlignment="1">
      <alignment horizontal="right" vertical="center" wrapText="1"/>
    </xf>
    <xf numFmtId="0" fontId="3" fillId="0" borderId="0" xfId="0" applyFont="1" applyAlignment="1">
      <alignment horizontal="right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  <xf numFmtId="0" fontId="10" fillId="0" borderId="0" xfId="0" applyFont="1" applyAlignment="1">
      <alignment horizontal="right" vertical="center" wrapText="1"/>
    </xf>
    <xf numFmtId="0" fontId="8" fillId="0" borderId="0" xfId="0" applyFont="1" applyAlignment="1">
      <alignment horizontal="right" vertical="center" wrapText="1"/>
    </xf>
    <xf numFmtId="0" fontId="3" fillId="0" borderId="0" xfId="0" applyFont="1"/>
    <xf numFmtId="165" fontId="3" fillId="0" borderId="0" xfId="1" applyNumberFormat="1" applyFont="1"/>
    <xf numFmtId="2" fontId="3" fillId="0" borderId="0" xfId="0" applyNumberFormat="1" applyFont="1"/>
    <xf numFmtId="2" fontId="0" fillId="0" borderId="0" xfId="0" applyNumberFormat="1" applyAlignment="1">
      <alignment horizontal="right" vertical="center" wrapText="1"/>
    </xf>
    <xf numFmtId="3" fontId="0" fillId="0" borderId="0" xfId="0" applyNumberFormat="1" applyAlignment="1">
      <alignment horizontal="right" vertical="center" wrapText="1"/>
    </xf>
    <xf numFmtId="0" fontId="12" fillId="0" borderId="0" xfId="0" applyFont="1" applyAlignment="1">
      <alignment horizontal="justify" vertical="center" wrapText="1"/>
    </xf>
    <xf numFmtId="0" fontId="13" fillId="0" borderId="0" xfId="0" applyFont="1" applyAlignment="1">
      <alignment horizontal="justify" vertical="center" wrapText="1"/>
    </xf>
    <xf numFmtId="0" fontId="11" fillId="0" borderId="0" xfId="0" applyFont="1" applyAlignment="1">
      <alignment vertical="center" wrapText="1"/>
    </xf>
    <xf numFmtId="0" fontId="0" fillId="3" borderId="0" xfId="0" applyFill="1"/>
    <xf numFmtId="0" fontId="15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15" fillId="0" borderId="0" xfId="0" applyFont="1" applyFill="1" applyAlignment="1">
      <alignment vertical="center"/>
    </xf>
    <xf numFmtId="0" fontId="0" fillId="0" borderId="0" xfId="0" applyFill="1"/>
    <xf numFmtId="0" fontId="0" fillId="0" borderId="0" xfId="0" applyFill="1" applyAlignment="1">
      <alignment horizontal="left" vertical="center" indent="1"/>
    </xf>
    <xf numFmtId="0" fontId="3" fillId="0" borderId="0" xfId="0" applyFont="1" applyFill="1" applyAlignment="1">
      <alignment horizontal="left" vertical="center" indent="1"/>
    </xf>
    <xf numFmtId="0" fontId="3" fillId="3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right" vertical="center" wrapText="1"/>
    </xf>
    <xf numFmtId="0" fontId="4" fillId="3" borderId="0" xfId="2" applyFill="1" applyAlignment="1">
      <alignment vertical="top" wrapText="1"/>
    </xf>
    <xf numFmtId="2" fontId="4" fillId="3" borderId="0" xfId="2" applyNumberFormat="1" applyFill="1" applyAlignment="1">
      <alignment vertical="top" wrapText="1"/>
    </xf>
    <xf numFmtId="1" fontId="4" fillId="3" borderId="0" xfId="2" applyNumberFormat="1" applyFill="1" applyAlignment="1">
      <alignment vertical="top"/>
    </xf>
    <xf numFmtId="2" fontId="4" fillId="3" borderId="0" xfId="2" applyNumberFormat="1" applyFill="1" applyAlignment="1">
      <alignment vertical="top"/>
    </xf>
    <xf numFmtId="0" fontId="8" fillId="3" borderId="0" xfId="0" applyFont="1" applyFill="1"/>
    <xf numFmtId="0" fontId="0" fillId="3" borderId="0" xfId="0" applyFill="1" applyAlignment="1">
      <alignment horizontal="right" vertical="center" wrapText="1"/>
    </xf>
    <xf numFmtId="0" fontId="4" fillId="0" borderId="0" xfId="2" applyFont="1" applyAlignment="1">
      <alignment vertical="top" wrapText="1"/>
    </xf>
    <xf numFmtId="2" fontId="4" fillId="0" borderId="0" xfId="2" applyNumberFormat="1" applyFont="1" applyAlignment="1">
      <alignment vertical="top" wrapText="1"/>
    </xf>
    <xf numFmtId="2" fontId="8" fillId="0" borderId="0" xfId="0" applyNumberFormat="1" applyFont="1" applyAlignment="1">
      <alignment horizontal="right" vertical="center" wrapText="1"/>
    </xf>
    <xf numFmtId="1" fontId="4" fillId="0" borderId="0" xfId="2" applyNumberFormat="1" applyFont="1" applyAlignment="1">
      <alignment vertical="top"/>
    </xf>
    <xf numFmtId="2" fontId="4" fillId="0" borderId="0" xfId="2" applyNumberFormat="1" applyFont="1" applyAlignment="1">
      <alignment vertical="top"/>
    </xf>
    <xf numFmtId="0" fontId="8" fillId="3" borderId="0" xfId="0" applyFont="1" applyFill="1" applyAlignment="1">
      <alignment horizontal="right" vertical="center" wrapText="1"/>
    </xf>
    <xf numFmtId="0" fontId="16" fillId="0" borderId="0" xfId="0" applyFont="1" applyAlignment="1">
      <alignment horizontal="justify" vertical="center" wrapText="1"/>
    </xf>
    <xf numFmtId="0" fontId="14" fillId="0" borderId="0" xfId="0" applyFont="1" applyAlignment="1">
      <alignment horizontal="justify" vertical="center" wrapText="1"/>
    </xf>
    <xf numFmtId="0" fontId="17" fillId="0" borderId="0" xfId="0" applyFont="1" applyAlignment="1">
      <alignment horizontal="left" vertical="center" wrapText="1"/>
    </xf>
    <xf numFmtId="2" fontId="3" fillId="0" borderId="0" xfId="0" applyNumberFormat="1" applyFont="1" applyAlignment="1">
      <alignment horizontal="right" vertical="center" wrapText="1"/>
    </xf>
    <xf numFmtId="1" fontId="7" fillId="0" borderId="0" xfId="2" applyNumberFormat="1" applyFont="1" applyAlignment="1">
      <alignment vertical="top"/>
    </xf>
    <xf numFmtId="1" fontId="2" fillId="0" borderId="0" xfId="0" applyNumberFormat="1" applyFont="1"/>
    <xf numFmtId="2" fontId="2" fillId="0" borderId="0" xfId="0" applyNumberFormat="1" applyFont="1"/>
    <xf numFmtId="0" fontId="2" fillId="0" borderId="0" xfId="0" applyFont="1"/>
    <xf numFmtId="41" fontId="9" fillId="0" borderId="0" xfId="3" applyFont="1"/>
    <xf numFmtId="41" fontId="9" fillId="0" borderId="0" xfId="3" applyFont="1" applyAlignment="1">
      <alignment horizontal="right" vertical="center" wrapText="1"/>
    </xf>
    <xf numFmtId="2" fontId="9" fillId="0" borderId="0" xfId="0" applyNumberFormat="1" applyFont="1" applyAlignment="1">
      <alignment vertical="center" wrapText="1"/>
    </xf>
    <xf numFmtId="0" fontId="9" fillId="0" borderId="0" xfId="0" applyFont="1"/>
    <xf numFmtId="0" fontId="3" fillId="0" borderId="0" xfId="0" applyFont="1" applyAlignment="1">
      <alignment horizontal="center"/>
    </xf>
    <xf numFmtId="0" fontId="17" fillId="0" borderId="0" xfId="0" applyFont="1"/>
    <xf numFmtId="43" fontId="3" fillId="0" borderId="0" xfId="0" applyNumberFormat="1" applyFont="1" applyAlignment="1">
      <alignment horizontal="right" vertical="center" wrapText="1"/>
    </xf>
    <xf numFmtId="0" fontId="20" fillId="2" borderId="0" xfId="2" applyFont="1" applyFill="1" applyAlignment="1">
      <alignment horizontal="center" vertical="top" wrapText="1"/>
    </xf>
  </cellXfs>
  <cellStyles count="28">
    <cellStyle name="Comma" xfId="1" builtinId="3"/>
    <cellStyle name="Comma [0]" xfId="3" builtinId="6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Relationship Id="rId8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73"/>
  <sheetViews>
    <sheetView tabSelected="1" workbookViewId="0">
      <pane xSplit="1" ySplit="1" topLeftCell="K2" activePane="bottomRight" state="frozen"/>
      <selection pane="topRight" activeCell="B1" sqref="B1"/>
      <selection pane="bottomLeft" activeCell="A2" sqref="A2"/>
      <selection pane="bottomRight" activeCell="S2" sqref="S2"/>
    </sheetView>
  </sheetViews>
  <sheetFormatPr baseColWidth="10" defaultColWidth="8.83203125" defaultRowHeight="14" x14ac:dyDescent="0"/>
  <cols>
    <col min="3" max="3" width="24" customWidth="1"/>
    <col min="8" max="8" width="12.5" bestFit="1" customWidth="1"/>
    <col min="9" max="9" width="11.5" bestFit="1" customWidth="1"/>
    <col min="11" max="12" width="10.5" bestFit="1" customWidth="1"/>
    <col min="14" max="15" width="11.5" bestFit="1" customWidth="1"/>
    <col min="17" max="17" width="9.1640625" style="63" bestFit="1" customWidth="1"/>
    <col min="18" max="18" width="8.83203125" style="63"/>
    <col min="19" max="19" width="11" style="63" bestFit="1" customWidth="1"/>
  </cols>
  <sheetData>
    <row r="1" spans="1:19" ht="75">
      <c r="A1" s="4" t="s">
        <v>0</v>
      </c>
      <c r="B1" s="4" t="s">
        <v>1</v>
      </c>
      <c r="C1" s="4" t="s">
        <v>2</v>
      </c>
      <c r="D1" s="4" t="s">
        <v>3</v>
      </c>
      <c r="E1" s="7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71" t="s">
        <v>503</v>
      </c>
      <c r="R1" s="71" t="s">
        <v>502</v>
      </c>
      <c r="S1" s="71" t="s">
        <v>505</v>
      </c>
    </row>
    <row r="2" spans="1:19" ht="30">
      <c r="A2" s="3">
        <v>1</v>
      </c>
      <c r="B2" s="1" t="s">
        <v>16</v>
      </c>
      <c r="C2" s="1" t="s">
        <v>17</v>
      </c>
      <c r="D2" s="2">
        <v>21</v>
      </c>
      <c r="E2" s="2">
        <v>21</v>
      </c>
      <c r="F2" s="2">
        <v>20.25</v>
      </c>
      <c r="G2" s="2">
        <v>21.75</v>
      </c>
      <c r="H2" s="5">
        <v>810</v>
      </c>
      <c r="I2" s="5">
        <v>1569</v>
      </c>
      <c r="J2" s="6">
        <v>1.9370370370370371</v>
      </c>
      <c r="K2" s="5">
        <v>675</v>
      </c>
      <c r="L2" s="5">
        <v>986</v>
      </c>
      <c r="M2" s="6">
        <v>1.4607407407407407</v>
      </c>
      <c r="N2" s="5">
        <v>900</v>
      </c>
      <c r="O2" s="5">
        <v>1191</v>
      </c>
      <c r="P2" s="6">
        <v>1.3233333333333333</v>
      </c>
      <c r="Q2" s="60">
        <f>N2</f>
        <v>900</v>
      </c>
      <c r="R2" s="61">
        <f>O2*1.09</f>
        <v>1298.19</v>
      </c>
      <c r="S2" s="62">
        <f>R2/Q2</f>
        <v>1.4424333333333335</v>
      </c>
    </row>
    <row r="3" spans="1:19" ht="30">
      <c r="A3" s="3">
        <v>2</v>
      </c>
      <c r="B3" s="1" t="s">
        <v>16</v>
      </c>
      <c r="C3" s="1" t="s">
        <v>18</v>
      </c>
      <c r="D3" s="2">
        <v>22.25</v>
      </c>
      <c r="E3" s="2">
        <v>22.25</v>
      </c>
      <c r="F3" s="2">
        <v>22.25</v>
      </c>
      <c r="G3" s="2">
        <v>24.25</v>
      </c>
      <c r="H3" s="5">
        <v>765</v>
      </c>
      <c r="I3" s="5">
        <v>1482</v>
      </c>
      <c r="J3" s="6">
        <v>1.9372549019607843</v>
      </c>
      <c r="K3" s="5">
        <v>630</v>
      </c>
      <c r="L3" s="5">
        <v>975</v>
      </c>
      <c r="M3" s="6">
        <v>1.5476190476190477</v>
      </c>
      <c r="N3" s="5">
        <v>630</v>
      </c>
      <c r="O3" s="5">
        <v>1787</v>
      </c>
      <c r="P3" s="6">
        <v>2.8365079365079366</v>
      </c>
      <c r="Q3" s="60">
        <f t="shared" ref="Q3:Q66" si="0">N3</f>
        <v>630</v>
      </c>
      <c r="R3" s="61">
        <f>O3*1.09</f>
        <v>1947.8300000000002</v>
      </c>
      <c r="S3" s="62">
        <f t="shared" ref="S3:S66" si="1">R3/Q3</f>
        <v>3.091793650793651</v>
      </c>
    </row>
    <row r="4" spans="1:19" ht="30">
      <c r="A4" s="3">
        <v>3</v>
      </c>
      <c r="B4" s="1" t="s">
        <v>16</v>
      </c>
      <c r="C4" s="1" t="s">
        <v>19</v>
      </c>
      <c r="D4" s="2">
        <v>18.25</v>
      </c>
      <c r="E4" s="2">
        <v>18.25</v>
      </c>
      <c r="F4" s="2">
        <v>18</v>
      </c>
      <c r="G4" s="2">
        <v>20.5</v>
      </c>
      <c r="H4" s="5">
        <v>630</v>
      </c>
      <c r="I4" s="5">
        <v>807</v>
      </c>
      <c r="J4" s="6">
        <v>1.2809523809523808</v>
      </c>
      <c r="K4" s="5">
        <v>540</v>
      </c>
      <c r="L4" s="5">
        <v>580</v>
      </c>
      <c r="M4" s="6">
        <v>1.0740740740740742</v>
      </c>
      <c r="N4" s="5">
        <v>585</v>
      </c>
      <c r="O4" s="5">
        <v>781</v>
      </c>
      <c r="P4" s="6">
        <v>1.335042735042735</v>
      </c>
      <c r="Q4" s="60">
        <f t="shared" si="0"/>
        <v>585</v>
      </c>
      <c r="R4" s="61">
        <f>O4*1.09</f>
        <v>851.29000000000008</v>
      </c>
      <c r="S4" s="62">
        <f t="shared" si="1"/>
        <v>1.4551965811965812</v>
      </c>
    </row>
    <row r="5" spans="1:19" s="8" customFormat="1" ht="30">
      <c r="A5" s="3">
        <v>4</v>
      </c>
      <c r="B5" s="1" t="s">
        <v>16</v>
      </c>
      <c r="C5" s="1" t="s">
        <v>20</v>
      </c>
      <c r="D5" s="2">
        <v>13</v>
      </c>
      <c r="E5" s="2">
        <v>13</v>
      </c>
      <c r="F5" s="2">
        <v>11.75</v>
      </c>
      <c r="G5" s="2">
        <v>14</v>
      </c>
      <c r="H5" s="5">
        <v>255</v>
      </c>
      <c r="I5" s="5">
        <v>137</v>
      </c>
      <c r="J5" s="6">
        <v>0.53725490196078429</v>
      </c>
      <c r="K5" s="5">
        <v>280</v>
      </c>
      <c r="L5" s="5">
        <v>137</v>
      </c>
      <c r="M5" s="6">
        <f>L5/K5</f>
        <v>0.48928571428571427</v>
      </c>
      <c r="N5" s="5">
        <v>280</v>
      </c>
      <c r="O5" s="5">
        <v>104</v>
      </c>
      <c r="P5" s="6">
        <v>0.37142857142857144</v>
      </c>
      <c r="Q5" s="60">
        <f t="shared" si="0"/>
        <v>280</v>
      </c>
      <c r="R5" s="61">
        <f>O5*1.09</f>
        <v>113.36000000000001</v>
      </c>
      <c r="S5" s="62">
        <f t="shared" si="1"/>
        <v>0.40485714285714292</v>
      </c>
    </row>
    <row r="6" spans="1:19" ht="30">
      <c r="A6" s="3">
        <v>5</v>
      </c>
      <c r="B6" s="1" t="s">
        <v>16</v>
      </c>
      <c r="C6" s="1" t="s">
        <v>21</v>
      </c>
      <c r="D6" s="2">
        <v>20</v>
      </c>
      <c r="E6" s="2">
        <v>20</v>
      </c>
      <c r="F6" s="2">
        <v>24.5</v>
      </c>
      <c r="G6" s="2">
        <v>24</v>
      </c>
      <c r="H6" s="5">
        <v>455</v>
      </c>
      <c r="I6" s="5">
        <v>376</v>
      </c>
      <c r="J6" s="6">
        <v>0.82637362637362632</v>
      </c>
      <c r="K6" s="5">
        <v>180</v>
      </c>
      <c r="L6" s="5">
        <v>830</v>
      </c>
      <c r="M6" s="6">
        <v>4.6111111111111107</v>
      </c>
      <c r="N6" s="5">
        <v>360</v>
      </c>
      <c r="O6" s="5">
        <v>1004</v>
      </c>
      <c r="P6" s="6">
        <v>2.7888888888888888</v>
      </c>
      <c r="Q6" s="60">
        <f t="shared" si="0"/>
        <v>360</v>
      </c>
      <c r="R6" s="61">
        <f>O6*1.09</f>
        <v>1094.3600000000001</v>
      </c>
      <c r="S6" s="62">
        <f t="shared" si="1"/>
        <v>3.0398888888888891</v>
      </c>
    </row>
    <row r="7" spans="1:19" ht="30">
      <c r="A7" s="3">
        <v>6</v>
      </c>
      <c r="B7" s="1" t="s">
        <v>16</v>
      </c>
      <c r="C7" s="1" t="s">
        <v>22</v>
      </c>
      <c r="D7" s="2">
        <v>20.5</v>
      </c>
      <c r="E7" s="2">
        <v>20.5</v>
      </c>
      <c r="F7" s="2">
        <v>20.75</v>
      </c>
      <c r="G7" s="2">
        <v>22.75</v>
      </c>
      <c r="H7" s="5">
        <v>270</v>
      </c>
      <c r="I7" s="5">
        <v>506</v>
      </c>
      <c r="J7" s="6">
        <v>1.874074074074074</v>
      </c>
      <c r="K7" s="5">
        <v>225</v>
      </c>
      <c r="L7" s="5">
        <v>300</v>
      </c>
      <c r="M7" s="6">
        <v>1.3333333333333333</v>
      </c>
      <c r="N7" s="5">
        <v>225</v>
      </c>
      <c r="O7" s="5">
        <v>505</v>
      </c>
      <c r="P7" s="6">
        <v>2.2444444444444445</v>
      </c>
      <c r="Q7" s="60">
        <f t="shared" si="0"/>
        <v>225</v>
      </c>
      <c r="R7" s="61">
        <f>O7*1.09</f>
        <v>550.45000000000005</v>
      </c>
      <c r="S7" s="62">
        <f t="shared" si="1"/>
        <v>2.4464444444444449</v>
      </c>
    </row>
    <row r="8" spans="1:19" ht="30">
      <c r="A8" s="3">
        <v>7</v>
      </c>
      <c r="B8" s="1" t="s">
        <v>16</v>
      </c>
      <c r="C8" s="1" t="s">
        <v>23</v>
      </c>
      <c r="D8" s="2">
        <v>16.75</v>
      </c>
      <c r="E8" s="2">
        <v>16.75</v>
      </c>
      <c r="F8" s="2">
        <v>17.5</v>
      </c>
      <c r="G8" s="2">
        <v>18.75</v>
      </c>
      <c r="H8" s="5">
        <v>720</v>
      </c>
      <c r="I8" s="5">
        <v>873</v>
      </c>
      <c r="J8" s="6">
        <v>1.2124999999999999</v>
      </c>
      <c r="K8" s="5">
        <v>450</v>
      </c>
      <c r="L8" s="5">
        <v>645</v>
      </c>
      <c r="M8" s="6">
        <v>1.4333333333333333</v>
      </c>
      <c r="N8" s="5">
        <v>675</v>
      </c>
      <c r="O8" s="5">
        <v>919</v>
      </c>
      <c r="P8" s="6">
        <v>1.3614814814814815</v>
      </c>
      <c r="Q8" s="60">
        <f t="shared" si="0"/>
        <v>675</v>
      </c>
      <c r="R8" s="61">
        <f>O8*1.09</f>
        <v>1001.71</v>
      </c>
      <c r="S8" s="62">
        <f t="shared" si="1"/>
        <v>1.4840148148148149</v>
      </c>
    </row>
    <row r="9" spans="1:19" ht="30">
      <c r="A9" s="3">
        <v>8</v>
      </c>
      <c r="B9" s="1" t="s">
        <v>16</v>
      </c>
      <c r="C9" s="1" t="s">
        <v>24</v>
      </c>
      <c r="D9" s="2">
        <v>14</v>
      </c>
      <c r="E9" s="2">
        <v>14</v>
      </c>
      <c r="F9" s="2">
        <v>12.5</v>
      </c>
      <c r="G9" s="2">
        <v>14.25</v>
      </c>
      <c r="H9" s="5">
        <v>630</v>
      </c>
      <c r="I9" s="5">
        <v>530</v>
      </c>
      <c r="J9" s="6">
        <v>0.84126984126984128</v>
      </c>
      <c r="K9" s="5">
        <v>540</v>
      </c>
      <c r="L9" s="5">
        <v>366</v>
      </c>
      <c r="M9" s="6">
        <v>0.67777777777777781</v>
      </c>
      <c r="N9" s="5">
        <v>810</v>
      </c>
      <c r="O9" s="5">
        <v>394</v>
      </c>
      <c r="P9" s="6">
        <v>0.48641975308641977</v>
      </c>
      <c r="Q9" s="60">
        <f t="shared" si="0"/>
        <v>810</v>
      </c>
      <c r="R9" s="61">
        <f>O9*1.09</f>
        <v>429.46000000000004</v>
      </c>
      <c r="S9" s="62">
        <f t="shared" si="1"/>
        <v>0.53019753086419763</v>
      </c>
    </row>
    <row r="10" spans="1:19" ht="30">
      <c r="A10" s="3">
        <v>9</v>
      </c>
      <c r="B10" s="1" t="s">
        <v>16</v>
      </c>
      <c r="C10" s="1" t="s">
        <v>25</v>
      </c>
      <c r="D10" s="2">
        <v>22.5</v>
      </c>
      <c r="E10" s="2">
        <v>22.5</v>
      </c>
      <c r="F10" s="2">
        <v>22.25</v>
      </c>
      <c r="G10" s="2">
        <v>23.75</v>
      </c>
      <c r="H10" s="5">
        <v>490</v>
      </c>
      <c r="I10" s="5">
        <v>1287</v>
      </c>
      <c r="J10" s="6">
        <v>2.6265306122448981</v>
      </c>
      <c r="K10" s="5">
        <v>525</v>
      </c>
      <c r="L10" s="5">
        <v>1023</v>
      </c>
      <c r="M10" s="6">
        <v>1.9485714285714286</v>
      </c>
      <c r="N10" s="5">
        <v>560</v>
      </c>
      <c r="O10" s="5">
        <v>1293</v>
      </c>
      <c r="P10" s="6">
        <v>2.3089285714285714</v>
      </c>
      <c r="Q10" s="60">
        <f t="shared" si="0"/>
        <v>560</v>
      </c>
      <c r="R10" s="61">
        <f>O10*1.09</f>
        <v>1409.3700000000001</v>
      </c>
      <c r="S10" s="62">
        <f t="shared" si="1"/>
        <v>2.5167321428571432</v>
      </c>
    </row>
    <row r="11" spans="1:19" ht="30">
      <c r="A11" s="3">
        <v>10</v>
      </c>
      <c r="B11" s="1" t="s">
        <v>16</v>
      </c>
      <c r="C11" s="1" t="s">
        <v>26</v>
      </c>
      <c r="D11" s="2">
        <v>23.25</v>
      </c>
      <c r="E11" s="2">
        <v>23.25</v>
      </c>
      <c r="F11" s="2">
        <v>23.75</v>
      </c>
      <c r="G11" s="2">
        <v>24.5</v>
      </c>
      <c r="H11" s="5">
        <v>675</v>
      </c>
      <c r="I11" s="5">
        <v>1578</v>
      </c>
      <c r="J11" s="6">
        <v>2.3377777777777777</v>
      </c>
      <c r="K11" s="5">
        <v>655</v>
      </c>
      <c r="L11" s="5">
        <v>1259</v>
      </c>
      <c r="M11" s="6">
        <v>1.9221374045801527</v>
      </c>
      <c r="N11" s="5">
        <v>810</v>
      </c>
      <c r="O11" s="5">
        <v>1604</v>
      </c>
      <c r="P11" s="6">
        <v>1.980246913580247</v>
      </c>
      <c r="Q11" s="60">
        <f t="shared" si="0"/>
        <v>810</v>
      </c>
      <c r="R11" s="61">
        <f>O11*1.09</f>
        <v>1748.3600000000001</v>
      </c>
      <c r="S11" s="62">
        <f t="shared" si="1"/>
        <v>2.1584691358024695</v>
      </c>
    </row>
    <row r="12" spans="1:19" ht="30">
      <c r="A12" s="3">
        <v>11</v>
      </c>
      <c r="B12" s="1" t="s">
        <v>16</v>
      </c>
      <c r="C12" s="1" t="s">
        <v>27</v>
      </c>
      <c r="D12" s="2">
        <v>14.75</v>
      </c>
      <c r="E12" s="2">
        <v>14.75</v>
      </c>
      <c r="F12" s="2">
        <v>12</v>
      </c>
      <c r="G12" s="2">
        <v>14.25</v>
      </c>
      <c r="H12" s="5">
        <v>450</v>
      </c>
      <c r="I12" s="5">
        <v>224</v>
      </c>
      <c r="J12" s="6">
        <v>0.49777777777777776</v>
      </c>
      <c r="K12" s="5">
        <v>405</v>
      </c>
      <c r="L12" s="5">
        <v>172</v>
      </c>
      <c r="M12" s="6">
        <v>0.42469135802469138</v>
      </c>
      <c r="N12" s="5">
        <v>495</v>
      </c>
      <c r="O12" s="5">
        <v>150</v>
      </c>
      <c r="P12" s="6">
        <v>0.30303030303030304</v>
      </c>
      <c r="Q12" s="60">
        <f t="shared" si="0"/>
        <v>495</v>
      </c>
      <c r="R12" s="61">
        <f>O12*1.09</f>
        <v>163.5</v>
      </c>
      <c r="S12" s="62">
        <f t="shared" si="1"/>
        <v>0.33030303030303032</v>
      </c>
    </row>
    <row r="13" spans="1:19" ht="30">
      <c r="A13" s="3">
        <v>12</v>
      </c>
      <c r="B13" s="1" t="s">
        <v>16</v>
      </c>
      <c r="C13" s="1" t="s">
        <v>28</v>
      </c>
      <c r="D13" s="2">
        <v>19.75</v>
      </c>
      <c r="E13" s="2">
        <v>19.75</v>
      </c>
      <c r="F13" s="2">
        <v>19.5</v>
      </c>
      <c r="G13" s="2">
        <v>22.25</v>
      </c>
      <c r="H13" s="5">
        <v>1100</v>
      </c>
      <c r="I13" s="5">
        <v>1690</v>
      </c>
      <c r="J13" s="6">
        <v>1.5363636363636364</v>
      </c>
      <c r="K13" s="5">
        <v>1000</v>
      </c>
      <c r="L13" s="5">
        <v>1123</v>
      </c>
      <c r="M13" s="6">
        <v>1.123</v>
      </c>
      <c r="N13" s="5">
        <v>1000</v>
      </c>
      <c r="O13" s="5">
        <v>1515</v>
      </c>
      <c r="P13" s="6">
        <v>1.5149999999999999</v>
      </c>
      <c r="Q13" s="60">
        <f t="shared" si="0"/>
        <v>1000</v>
      </c>
      <c r="R13" s="61">
        <f>O13*1.09</f>
        <v>1651.3500000000001</v>
      </c>
      <c r="S13" s="62">
        <f t="shared" si="1"/>
        <v>1.6513500000000001</v>
      </c>
    </row>
    <row r="14" spans="1:19" ht="30">
      <c r="A14" s="3">
        <v>13</v>
      </c>
      <c r="B14" s="1" t="s">
        <v>16</v>
      </c>
      <c r="C14" s="1" t="s">
        <v>29</v>
      </c>
      <c r="D14" s="2">
        <v>15.25</v>
      </c>
      <c r="E14" s="2">
        <v>15.25</v>
      </c>
      <c r="F14" s="2">
        <v>10.5</v>
      </c>
      <c r="G14" s="2">
        <v>15.75</v>
      </c>
      <c r="H14" s="5">
        <v>810</v>
      </c>
      <c r="I14" s="5">
        <v>462</v>
      </c>
      <c r="J14" s="6">
        <v>0.57037037037037042</v>
      </c>
      <c r="K14" s="5">
        <v>765</v>
      </c>
      <c r="L14" s="5">
        <v>305</v>
      </c>
      <c r="M14" s="6">
        <v>0.39869281045751637</v>
      </c>
      <c r="N14" s="5">
        <v>765</v>
      </c>
      <c r="O14" s="5">
        <v>288</v>
      </c>
      <c r="P14" s="6">
        <v>0.37647058823529411</v>
      </c>
      <c r="Q14" s="60">
        <f t="shared" si="0"/>
        <v>765</v>
      </c>
      <c r="R14" s="61">
        <f>O14*1.09</f>
        <v>313.92</v>
      </c>
      <c r="S14" s="62">
        <f t="shared" si="1"/>
        <v>0.41035294117647059</v>
      </c>
    </row>
    <row r="15" spans="1:19" ht="30">
      <c r="A15" s="3">
        <v>14</v>
      </c>
      <c r="B15" s="1" t="s">
        <v>16</v>
      </c>
      <c r="C15" s="1" t="s">
        <v>30</v>
      </c>
      <c r="D15" s="2">
        <v>13.75</v>
      </c>
      <c r="E15" s="2">
        <v>13.75</v>
      </c>
      <c r="F15" s="2">
        <v>11.25</v>
      </c>
      <c r="G15" s="2">
        <v>15.25</v>
      </c>
      <c r="H15" s="5">
        <v>675</v>
      </c>
      <c r="I15" s="5">
        <v>446</v>
      </c>
      <c r="J15" s="6">
        <v>0.66074074074074074</v>
      </c>
      <c r="K15" s="5">
        <v>540</v>
      </c>
      <c r="L15" s="5">
        <v>336</v>
      </c>
      <c r="M15" s="6">
        <v>0.62222222222222223</v>
      </c>
      <c r="N15" s="5">
        <v>675</v>
      </c>
      <c r="O15" s="5">
        <v>419</v>
      </c>
      <c r="P15" s="6">
        <v>0.6207407407407407</v>
      </c>
      <c r="Q15" s="60">
        <f t="shared" si="0"/>
        <v>675</v>
      </c>
      <c r="R15" s="61">
        <f>O15*1.09</f>
        <v>456.71000000000004</v>
      </c>
      <c r="S15" s="62">
        <f t="shared" si="1"/>
        <v>0.67660740740740744</v>
      </c>
    </row>
    <row r="16" spans="1:19" ht="30">
      <c r="A16" s="3">
        <v>15</v>
      </c>
      <c r="B16" s="1" t="s">
        <v>16</v>
      </c>
      <c r="C16" s="1" t="s">
        <v>500</v>
      </c>
      <c r="D16" s="2">
        <v>21</v>
      </c>
      <c r="E16" s="2">
        <v>21</v>
      </c>
      <c r="F16" s="2">
        <v>21.5</v>
      </c>
      <c r="G16" s="2">
        <v>23.5</v>
      </c>
      <c r="H16" s="5">
        <v>175</v>
      </c>
      <c r="I16" s="5">
        <v>244</v>
      </c>
      <c r="J16" s="6">
        <f>I16/H16</f>
        <v>1.3942857142857144</v>
      </c>
      <c r="K16" s="5">
        <v>175</v>
      </c>
      <c r="L16" s="5">
        <v>191</v>
      </c>
      <c r="M16" s="6">
        <f>L16/K16</f>
        <v>1.0914285714285714</v>
      </c>
      <c r="N16" s="5">
        <v>175</v>
      </c>
      <c r="O16" s="5">
        <v>350</v>
      </c>
      <c r="P16" s="6">
        <f>O16/N16</f>
        <v>2</v>
      </c>
      <c r="Q16" s="60">
        <f t="shared" si="0"/>
        <v>175</v>
      </c>
      <c r="R16" s="61">
        <f>O16*1.09</f>
        <v>381.5</v>
      </c>
      <c r="S16" s="62">
        <f t="shared" si="1"/>
        <v>2.1800000000000002</v>
      </c>
    </row>
    <row r="17" spans="1:19" ht="30">
      <c r="A17" s="3">
        <v>16</v>
      </c>
      <c r="B17" s="1" t="s">
        <v>16</v>
      </c>
      <c r="C17" s="1" t="s">
        <v>31</v>
      </c>
      <c r="D17" s="2">
        <v>16</v>
      </c>
      <c r="E17" s="2">
        <v>16</v>
      </c>
      <c r="F17" s="2">
        <v>14</v>
      </c>
      <c r="G17" s="2">
        <v>18.25</v>
      </c>
      <c r="H17" s="5">
        <v>810</v>
      </c>
      <c r="I17" s="5">
        <v>930</v>
      </c>
      <c r="J17" s="6">
        <v>1.1481481481481481</v>
      </c>
      <c r="K17" s="5">
        <v>765</v>
      </c>
      <c r="L17" s="5">
        <v>624</v>
      </c>
      <c r="M17" s="6">
        <v>0.81568627450980391</v>
      </c>
      <c r="N17" s="5">
        <v>765</v>
      </c>
      <c r="O17" s="5">
        <v>857</v>
      </c>
      <c r="P17" s="6">
        <v>1.1202614379084967</v>
      </c>
      <c r="Q17" s="60">
        <f t="shared" si="0"/>
        <v>765</v>
      </c>
      <c r="R17" s="61">
        <f>O17*1.09</f>
        <v>934.13000000000011</v>
      </c>
      <c r="S17" s="62">
        <f t="shared" si="1"/>
        <v>1.2210849673202615</v>
      </c>
    </row>
    <row r="18" spans="1:19" ht="30">
      <c r="A18" s="3">
        <v>17</v>
      </c>
      <c r="B18" s="1" t="s">
        <v>16</v>
      </c>
      <c r="C18" s="1" t="s">
        <v>32</v>
      </c>
      <c r="D18" s="2">
        <v>18.25</v>
      </c>
      <c r="E18" s="2">
        <v>18.25</v>
      </c>
      <c r="F18" s="2">
        <v>17.75</v>
      </c>
      <c r="G18" s="2">
        <v>21</v>
      </c>
      <c r="H18" s="5">
        <v>1170</v>
      </c>
      <c r="I18" s="5">
        <v>1664</v>
      </c>
      <c r="J18" s="6">
        <v>1.4222222222222223</v>
      </c>
      <c r="K18" s="5">
        <v>1035</v>
      </c>
      <c r="L18" s="5">
        <v>1338</v>
      </c>
      <c r="M18" s="6">
        <v>1.2927536231884058</v>
      </c>
      <c r="N18" s="5">
        <v>1035</v>
      </c>
      <c r="O18" s="5">
        <v>1720</v>
      </c>
      <c r="P18" s="6">
        <v>1.6618357487922706</v>
      </c>
      <c r="Q18" s="60">
        <f t="shared" si="0"/>
        <v>1035</v>
      </c>
      <c r="R18" s="61">
        <f>O18*1.09</f>
        <v>1874.8000000000002</v>
      </c>
      <c r="S18" s="62">
        <f t="shared" si="1"/>
        <v>1.811400966183575</v>
      </c>
    </row>
    <row r="19" spans="1:19" s="8" customFormat="1" ht="30">
      <c r="A19" s="3">
        <v>18</v>
      </c>
      <c r="B19" s="1" t="s">
        <v>16</v>
      </c>
      <c r="C19" s="1" t="s">
        <v>33</v>
      </c>
      <c r="D19" s="2">
        <v>23</v>
      </c>
      <c r="E19" s="2">
        <v>23</v>
      </c>
      <c r="F19" s="2">
        <v>23</v>
      </c>
      <c r="G19" s="2">
        <v>24.5</v>
      </c>
      <c r="H19" s="5">
        <v>280</v>
      </c>
      <c r="I19" s="5">
        <v>663</v>
      </c>
      <c r="J19" s="6">
        <v>2.3678571428571429</v>
      </c>
      <c r="K19" s="5">
        <v>175</v>
      </c>
      <c r="L19" s="5">
        <v>245</v>
      </c>
      <c r="M19" s="6">
        <f>L19/K19</f>
        <v>1.4</v>
      </c>
      <c r="N19" s="5">
        <v>280</v>
      </c>
      <c r="O19" s="5">
        <v>647</v>
      </c>
      <c r="P19" s="6">
        <v>2.3107142857142855</v>
      </c>
      <c r="Q19" s="60">
        <f t="shared" si="0"/>
        <v>280</v>
      </c>
      <c r="R19" s="61">
        <f>O19*1.09</f>
        <v>705.23</v>
      </c>
      <c r="S19" s="62">
        <f t="shared" si="1"/>
        <v>2.5186785714285715</v>
      </c>
    </row>
    <row r="20" spans="1:19" ht="30">
      <c r="A20" s="3">
        <v>19</v>
      </c>
      <c r="B20" s="1" t="s">
        <v>16</v>
      </c>
      <c r="C20" s="1" t="s">
        <v>34</v>
      </c>
      <c r="D20" s="2">
        <v>19.75</v>
      </c>
      <c r="E20" s="2">
        <v>19.75</v>
      </c>
      <c r="F20" s="2">
        <v>21</v>
      </c>
      <c r="G20" s="2">
        <v>23</v>
      </c>
      <c r="H20" s="5">
        <v>900</v>
      </c>
      <c r="I20" s="5">
        <v>1154</v>
      </c>
      <c r="J20" s="6">
        <v>1.2822222222222222</v>
      </c>
      <c r="K20" s="5">
        <v>675</v>
      </c>
      <c r="L20" s="5">
        <v>1046</v>
      </c>
      <c r="M20" s="6">
        <v>1.5496296296296297</v>
      </c>
      <c r="N20" s="5">
        <v>720</v>
      </c>
      <c r="O20" s="5">
        <v>1455</v>
      </c>
      <c r="P20" s="6">
        <v>2.0208333333333335</v>
      </c>
      <c r="Q20" s="60">
        <f t="shared" si="0"/>
        <v>720</v>
      </c>
      <c r="R20" s="61">
        <f>O20*1.09</f>
        <v>1585.95</v>
      </c>
      <c r="S20" s="62">
        <f t="shared" si="1"/>
        <v>2.2027083333333333</v>
      </c>
    </row>
    <row r="21" spans="1:19" ht="30">
      <c r="A21" s="3">
        <v>20</v>
      </c>
      <c r="B21" s="1" t="s">
        <v>16</v>
      </c>
      <c r="C21" s="1" t="s">
        <v>35</v>
      </c>
      <c r="D21" s="2">
        <v>13.75</v>
      </c>
      <c r="E21" s="2">
        <v>13.75</v>
      </c>
      <c r="F21" s="2">
        <v>12.5</v>
      </c>
      <c r="G21" s="2">
        <v>14</v>
      </c>
      <c r="H21" s="5">
        <v>360</v>
      </c>
      <c r="I21" s="5">
        <v>170</v>
      </c>
      <c r="J21" s="6">
        <v>0.47222222222222221</v>
      </c>
      <c r="K21" s="5">
        <v>360</v>
      </c>
      <c r="L21" s="5">
        <v>156</v>
      </c>
      <c r="M21" s="6">
        <v>0.43333333333333335</v>
      </c>
      <c r="N21" s="5">
        <v>540</v>
      </c>
      <c r="O21" s="5">
        <v>159</v>
      </c>
      <c r="P21" s="6">
        <v>0.29444444444444445</v>
      </c>
      <c r="Q21" s="60">
        <f t="shared" si="0"/>
        <v>540</v>
      </c>
      <c r="R21" s="61">
        <f>O21*1.09</f>
        <v>173.31</v>
      </c>
      <c r="S21" s="62">
        <f t="shared" si="1"/>
        <v>0.32094444444444442</v>
      </c>
    </row>
    <row r="22" spans="1:19" ht="30">
      <c r="A22" s="3">
        <v>21</v>
      </c>
      <c r="B22" s="1" t="s">
        <v>16</v>
      </c>
      <c r="C22" s="1" t="s">
        <v>36</v>
      </c>
      <c r="D22" s="2">
        <v>22.5</v>
      </c>
      <c r="E22" s="2">
        <v>22.5</v>
      </c>
      <c r="F22" s="2">
        <v>22.25</v>
      </c>
      <c r="G22" s="2">
        <v>24.25</v>
      </c>
      <c r="H22" s="5">
        <v>855</v>
      </c>
      <c r="I22" s="5">
        <v>1816</v>
      </c>
      <c r="J22" s="6">
        <v>2.1239766081871343</v>
      </c>
      <c r="K22" s="5">
        <v>990</v>
      </c>
      <c r="L22" s="5">
        <v>1661</v>
      </c>
      <c r="M22" s="6">
        <v>1.6777777777777778</v>
      </c>
      <c r="N22" s="5">
        <v>990</v>
      </c>
      <c r="O22" s="5">
        <v>2322</v>
      </c>
      <c r="P22" s="6">
        <v>2.3454545454545452</v>
      </c>
      <c r="Q22" s="60">
        <f t="shared" si="0"/>
        <v>990</v>
      </c>
      <c r="R22" s="61">
        <f>O22*1.09</f>
        <v>2530.98</v>
      </c>
      <c r="S22" s="62">
        <f t="shared" si="1"/>
        <v>2.5565454545454545</v>
      </c>
    </row>
    <row r="23" spans="1:19" ht="30">
      <c r="A23" s="3">
        <v>22</v>
      </c>
      <c r="B23" s="1" t="s">
        <v>16</v>
      </c>
      <c r="C23" s="1" t="s">
        <v>37</v>
      </c>
      <c r="D23" s="2">
        <v>19.5</v>
      </c>
      <c r="E23" s="2">
        <v>19.5</v>
      </c>
      <c r="F23" s="2">
        <v>20.25</v>
      </c>
      <c r="G23" s="2">
        <v>22.5</v>
      </c>
      <c r="H23" s="5">
        <v>765</v>
      </c>
      <c r="I23" s="5">
        <v>1190</v>
      </c>
      <c r="J23" s="6">
        <v>1.5555555555555556</v>
      </c>
      <c r="K23" s="5">
        <v>585</v>
      </c>
      <c r="L23" s="5">
        <v>965</v>
      </c>
      <c r="M23" s="6">
        <v>1.6495726495726495</v>
      </c>
      <c r="N23" s="5">
        <v>720</v>
      </c>
      <c r="O23" s="5">
        <v>1473</v>
      </c>
      <c r="P23" s="6">
        <v>2.0458333333333334</v>
      </c>
      <c r="Q23" s="60">
        <f t="shared" si="0"/>
        <v>720</v>
      </c>
      <c r="R23" s="61">
        <f>O23*1.09</f>
        <v>1605.5700000000002</v>
      </c>
      <c r="S23" s="62">
        <f t="shared" si="1"/>
        <v>2.2299583333333337</v>
      </c>
    </row>
    <row r="24" spans="1:19" ht="30">
      <c r="A24" s="3">
        <v>23</v>
      </c>
      <c r="B24" s="1" t="s">
        <v>16</v>
      </c>
      <c r="C24" s="1" t="s">
        <v>38</v>
      </c>
      <c r="D24" s="2">
        <v>17</v>
      </c>
      <c r="E24" s="2">
        <v>17</v>
      </c>
      <c r="F24" s="2">
        <v>16.75</v>
      </c>
      <c r="G24" s="2">
        <v>19.75</v>
      </c>
      <c r="H24" s="5">
        <v>855</v>
      </c>
      <c r="I24" s="5">
        <v>991</v>
      </c>
      <c r="J24" s="6">
        <v>1.15906432748538</v>
      </c>
      <c r="K24" s="5">
        <v>720</v>
      </c>
      <c r="L24" s="5">
        <v>761</v>
      </c>
      <c r="M24" s="6">
        <v>1.0569444444444445</v>
      </c>
      <c r="N24" s="5">
        <v>855</v>
      </c>
      <c r="O24" s="5">
        <v>1074</v>
      </c>
      <c r="P24" s="6">
        <v>1.2561403508771929</v>
      </c>
      <c r="Q24" s="60">
        <f t="shared" si="0"/>
        <v>855</v>
      </c>
      <c r="R24" s="61">
        <f>O24*1.09</f>
        <v>1170.6600000000001</v>
      </c>
      <c r="S24" s="62">
        <f t="shared" si="1"/>
        <v>1.3691929824561404</v>
      </c>
    </row>
    <row r="25" spans="1:19" ht="30">
      <c r="A25" s="3">
        <v>24</v>
      </c>
      <c r="B25" s="1" t="s">
        <v>16</v>
      </c>
      <c r="C25" s="1" t="s">
        <v>39</v>
      </c>
      <c r="D25" s="2">
        <v>14.75</v>
      </c>
      <c r="E25" s="2">
        <v>14.75</v>
      </c>
      <c r="F25" s="2">
        <v>14.25</v>
      </c>
      <c r="G25" s="2">
        <v>17</v>
      </c>
      <c r="H25" s="5">
        <v>855</v>
      </c>
      <c r="I25" s="5">
        <v>960</v>
      </c>
      <c r="J25" s="6">
        <v>1.1228070175438596</v>
      </c>
      <c r="K25" s="5">
        <v>675</v>
      </c>
      <c r="L25" s="5">
        <v>737</v>
      </c>
      <c r="M25" s="6">
        <v>1.0918518518518519</v>
      </c>
      <c r="N25" s="5">
        <v>675</v>
      </c>
      <c r="O25" s="5">
        <v>765</v>
      </c>
      <c r="P25" s="6">
        <v>1.1333333333333333</v>
      </c>
      <c r="Q25" s="60">
        <f t="shared" si="0"/>
        <v>675</v>
      </c>
      <c r="R25" s="61">
        <v>835</v>
      </c>
      <c r="S25" s="62">
        <f t="shared" si="1"/>
        <v>1.2370370370370369</v>
      </c>
    </row>
    <row r="26" spans="1:19" ht="30">
      <c r="A26" s="3">
        <v>25</v>
      </c>
      <c r="B26" s="1" t="s">
        <v>16</v>
      </c>
      <c r="C26" s="1" t="s">
        <v>40</v>
      </c>
      <c r="D26" s="2">
        <v>17.25</v>
      </c>
      <c r="E26" s="2">
        <v>17.25</v>
      </c>
      <c r="F26" s="2">
        <v>17.25</v>
      </c>
      <c r="G26" s="2">
        <v>20</v>
      </c>
      <c r="H26" s="5">
        <v>675</v>
      </c>
      <c r="I26" s="5">
        <v>1088</v>
      </c>
      <c r="J26" s="6">
        <v>1.6118518518518519</v>
      </c>
      <c r="K26" s="5">
        <v>585</v>
      </c>
      <c r="L26" s="5">
        <v>864</v>
      </c>
      <c r="M26" s="6">
        <v>1.476923076923077</v>
      </c>
      <c r="N26" s="5">
        <v>585</v>
      </c>
      <c r="O26" s="5">
        <v>1121</v>
      </c>
      <c r="P26" s="6">
        <v>1.9162393162393163</v>
      </c>
      <c r="Q26" s="60">
        <f t="shared" si="0"/>
        <v>585</v>
      </c>
      <c r="R26" s="63">
        <v>1222</v>
      </c>
      <c r="S26" s="62">
        <f t="shared" si="1"/>
        <v>2.088888888888889</v>
      </c>
    </row>
    <row r="27" spans="1:19" ht="30">
      <c r="A27" s="3">
        <v>26</v>
      </c>
      <c r="B27" s="1" t="s">
        <v>16</v>
      </c>
      <c r="C27" s="1" t="s">
        <v>41</v>
      </c>
      <c r="D27" s="2">
        <v>14</v>
      </c>
      <c r="E27" s="2">
        <v>14</v>
      </c>
      <c r="F27" s="2">
        <v>13.75</v>
      </c>
      <c r="G27" s="2">
        <v>15.75</v>
      </c>
      <c r="H27" s="5">
        <v>675</v>
      </c>
      <c r="I27" s="5">
        <v>424</v>
      </c>
      <c r="J27" s="6">
        <v>0.62814814814814812</v>
      </c>
      <c r="K27" s="5">
        <v>495</v>
      </c>
      <c r="L27" s="5">
        <v>343</v>
      </c>
      <c r="M27" s="6">
        <v>0.69292929292929295</v>
      </c>
      <c r="N27" s="5">
        <v>765</v>
      </c>
      <c r="O27" s="5">
        <v>488</v>
      </c>
      <c r="P27" s="6">
        <v>0.6379084967320261</v>
      </c>
      <c r="Q27" s="60">
        <f t="shared" si="0"/>
        <v>765</v>
      </c>
      <c r="R27" s="63">
        <v>532</v>
      </c>
      <c r="S27" s="62">
        <f t="shared" si="1"/>
        <v>0.69542483660130716</v>
      </c>
    </row>
    <row r="28" spans="1:19" ht="30">
      <c r="A28" s="3">
        <v>27</v>
      </c>
      <c r="B28" s="1" t="s">
        <v>16</v>
      </c>
      <c r="C28" s="1" t="s">
        <v>42</v>
      </c>
      <c r="D28" s="2">
        <v>18.75</v>
      </c>
      <c r="E28" s="2">
        <v>18.75</v>
      </c>
      <c r="F28" s="2">
        <v>20</v>
      </c>
      <c r="G28" s="2">
        <v>21.25</v>
      </c>
      <c r="H28" s="5">
        <v>855</v>
      </c>
      <c r="I28" s="5">
        <v>1353</v>
      </c>
      <c r="J28" s="6">
        <v>1.5824561403508772</v>
      </c>
      <c r="K28" s="5">
        <v>630</v>
      </c>
      <c r="L28" s="5">
        <v>1102</v>
      </c>
      <c r="M28" s="6">
        <v>1.7492063492063492</v>
      </c>
      <c r="N28" s="5">
        <v>765</v>
      </c>
      <c r="O28" s="5">
        <v>1426</v>
      </c>
      <c r="P28" s="6">
        <v>1.8640522875816994</v>
      </c>
      <c r="Q28" s="60">
        <f t="shared" si="0"/>
        <v>765</v>
      </c>
      <c r="R28" s="63">
        <v>1554</v>
      </c>
      <c r="S28" s="62">
        <f t="shared" si="1"/>
        <v>2.0313725490196077</v>
      </c>
    </row>
    <row r="29" spans="1:19" ht="30">
      <c r="A29" s="3">
        <v>28</v>
      </c>
      <c r="B29" s="1" t="s">
        <v>16</v>
      </c>
      <c r="C29" s="1" t="s">
        <v>43</v>
      </c>
      <c r="D29" s="2">
        <v>20.25</v>
      </c>
      <c r="E29" s="2">
        <v>20.25</v>
      </c>
      <c r="F29" s="2">
        <v>20.25</v>
      </c>
      <c r="G29" s="2">
        <v>22.25</v>
      </c>
      <c r="H29" s="5">
        <v>225</v>
      </c>
      <c r="I29" s="5">
        <v>421</v>
      </c>
      <c r="J29" s="6">
        <v>1.8711111111111112</v>
      </c>
      <c r="K29" s="5">
        <v>225</v>
      </c>
      <c r="L29" s="5">
        <v>323</v>
      </c>
      <c r="M29" s="6">
        <v>1.4355555555555555</v>
      </c>
      <c r="N29" s="5">
        <v>225</v>
      </c>
      <c r="O29" s="5">
        <v>437</v>
      </c>
      <c r="P29" s="6">
        <v>1.9422222222222223</v>
      </c>
      <c r="Q29" s="60">
        <f t="shared" si="0"/>
        <v>225</v>
      </c>
      <c r="R29" s="63">
        <v>476</v>
      </c>
      <c r="S29" s="62">
        <f t="shared" si="1"/>
        <v>2.1155555555555554</v>
      </c>
    </row>
    <row r="30" spans="1:19" ht="30">
      <c r="A30" s="3">
        <v>29</v>
      </c>
      <c r="B30" s="1" t="s">
        <v>16</v>
      </c>
      <c r="C30" s="1" t="s">
        <v>44</v>
      </c>
      <c r="D30" s="2">
        <v>13.5</v>
      </c>
      <c r="E30" s="2">
        <v>13.5</v>
      </c>
      <c r="F30" s="2">
        <v>12.25</v>
      </c>
      <c r="G30" s="2">
        <v>15.75</v>
      </c>
      <c r="H30" s="5">
        <v>765</v>
      </c>
      <c r="I30" s="5">
        <v>973</v>
      </c>
      <c r="J30" s="6">
        <v>1.2718954248366012</v>
      </c>
      <c r="K30" s="5">
        <v>630</v>
      </c>
      <c r="L30" s="5">
        <v>681</v>
      </c>
      <c r="M30" s="6">
        <v>1.0809523809523809</v>
      </c>
      <c r="N30" s="5">
        <v>675</v>
      </c>
      <c r="O30" s="5">
        <v>837</v>
      </c>
      <c r="P30" s="6">
        <v>1.24</v>
      </c>
      <c r="Q30" s="60">
        <f t="shared" si="0"/>
        <v>675</v>
      </c>
      <c r="R30" s="63">
        <v>912</v>
      </c>
      <c r="S30" s="62">
        <f t="shared" si="1"/>
        <v>1.3511111111111112</v>
      </c>
    </row>
    <row r="31" spans="1:19" ht="30">
      <c r="A31" s="3">
        <v>30</v>
      </c>
      <c r="B31" s="1" t="s">
        <v>16</v>
      </c>
      <c r="C31" s="1" t="s">
        <v>45</v>
      </c>
      <c r="D31" s="2">
        <v>14</v>
      </c>
      <c r="E31" s="2">
        <v>14</v>
      </c>
      <c r="F31" s="2">
        <v>10.5</v>
      </c>
      <c r="G31" s="2">
        <v>13.25</v>
      </c>
      <c r="H31" s="5">
        <v>630</v>
      </c>
      <c r="I31" s="5">
        <v>314</v>
      </c>
      <c r="J31" s="6">
        <v>0.49841269841269842</v>
      </c>
      <c r="K31" s="5">
        <v>630</v>
      </c>
      <c r="L31" s="5">
        <v>160</v>
      </c>
      <c r="M31" s="6">
        <v>0.25396825396825395</v>
      </c>
      <c r="N31" s="5">
        <v>765</v>
      </c>
      <c r="O31" s="5">
        <v>200</v>
      </c>
      <c r="P31" s="6">
        <v>0.26143790849673204</v>
      </c>
      <c r="Q31" s="60">
        <f t="shared" si="0"/>
        <v>765</v>
      </c>
      <c r="R31" s="63">
        <f>O31*1.09</f>
        <v>218.00000000000003</v>
      </c>
      <c r="S31" s="62">
        <f t="shared" si="1"/>
        <v>0.28496732026143795</v>
      </c>
    </row>
    <row r="32" spans="1:19" ht="30">
      <c r="A32" s="3">
        <v>31</v>
      </c>
      <c r="B32" s="1" t="s">
        <v>16</v>
      </c>
      <c r="C32" s="1" t="s">
        <v>46</v>
      </c>
      <c r="D32" s="2">
        <v>15.25</v>
      </c>
      <c r="E32" s="2">
        <v>15.25</v>
      </c>
      <c r="F32" s="2">
        <v>15</v>
      </c>
      <c r="G32" s="2">
        <v>18</v>
      </c>
      <c r="H32" s="5">
        <v>630</v>
      </c>
      <c r="I32" s="5">
        <v>913</v>
      </c>
      <c r="J32" s="6">
        <v>1.4492063492063492</v>
      </c>
      <c r="K32" s="5">
        <v>585</v>
      </c>
      <c r="L32" s="5">
        <v>719</v>
      </c>
      <c r="M32" s="6">
        <v>1.2290598290598291</v>
      </c>
      <c r="N32" s="5">
        <v>720</v>
      </c>
      <c r="O32" s="5">
        <v>1048</v>
      </c>
      <c r="P32" s="6">
        <v>1.4555555555555555</v>
      </c>
      <c r="Q32" s="60">
        <f t="shared" si="0"/>
        <v>720</v>
      </c>
      <c r="R32" s="63">
        <v>1142</v>
      </c>
      <c r="S32" s="62">
        <f t="shared" si="1"/>
        <v>1.586111111111111</v>
      </c>
    </row>
    <row r="33" spans="1:19" ht="30">
      <c r="A33" s="3">
        <v>32</v>
      </c>
      <c r="B33" s="1" t="s">
        <v>16</v>
      </c>
      <c r="C33" s="1" t="s">
        <v>47</v>
      </c>
      <c r="D33" s="2">
        <v>11.25</v>
      </c>
      <c r="E33" s="2">
        <v>11.25</v>
      </c>
      <c r="F33" s="2">
        <v>10.5</v>
      </c>
      <c r="G33" s="2">
        <v>11.75</v>
      </c>
      <c r="H33" s="5">
        <v>720</v>
      </c>
      <c r="I33" s="5">
        <v>149</v>
      </c>
      <c r="J33" s="6">
        <v>0.20694444444444443</v>
      </c>
      <c r="K33" s="5">
        <v>675</v>
      </c>
      <c r="L33" s="5">
        <v>203</v>
      </c>
      <c r="M33" s="6">
        <v>0.30074074074074075</v>
      </c>
      <c r="N33" s="5">
        <v>675</v>
      </c>
      <c r="O33" s="5">
        <v>121</v>
      </c>
      <c r="P33" s="6">
        <v>0.17925925925925926</v>
      </c>
      <c r="Q33" s="60">
        <f t="shared" si="0"/>
        <v>675</v>
      </c>
      <c r="R33" s="63">
        <v>132</v>
      </c>
      <c r="S33" s="62">
        <f t="shared" si="1"/>
        <v>0.19555555555555557</v>
      </c>
    </row>
    <row r="34" spans="1:19" ht="30">
      <c r="A34" s="3">
        <v>33</v>
      </c>
      <c r="B34" s="1" t="s">
        <v>16</v>
      </c>
      <c r="C34" s="1" t="s">
        <v>48</v>
      </c>
      <c r="D34" s="2">
        <v>16.5</v>
      </c>
      <c r="E34" s="2">
        <v>16.5</v>
      </c>
      <c r="F34" s="2">
        <v>15</v>
      </c>
      <c r="G34" s="2">
        <v>18</v>
      </c>
      <c r="H34" s="5">
        <v>630</v>
      </c>
      <c r="I34" s="5">
        <v>807</v>
      </c>
      <c r="J34" s="6">
        <v>1.2809523809523808</v>
      </c>
      <c r="K34" s="5">
        <v>585</v>
      </c>
      <c r="L34" s="5">
        <v>558</v>
      </c>
      <c r="M34" s="6">
        <v>0.9538461538461539</v>
      </c>
      <c r="N34" s="5">
        <v>720</v>
      </c>
      <c r="O34" s="5">
        <v>764</v>
      </c>
      <c r="P34" s="6">
        <v>1.0611111111111111</v>
      </c>
      <c r="Q34" s="60">
        <f t="shared" si="0"/>
        <v>720</v>
      </c>
      <c r="R34" s="63">
        <v>833</v>
      </c>
      <c r="S34" s="62">
        <f t="shared" si="1"/>
        <v>1.1569444444444446</v>
      </c>
    </row>
    <row r="35" spans="1:19" ht="30">
      <c r="A35" s="3">
        <v>34</v>
      </c>
      <c r="B35" s="1" t="s">
        <v>16</v>
      </c>
      <c r="C35" s="1" t="s">
        <v>49</v>
      </c>
      <c r="D35" s="2">
        <v>13</v>
      </c>
      <c r="E35" s="2">
        <v>13</v>
      </c>
      <c r="F35" s="2">
        <v>12.5</v>
      </c>
      <c r="G35" s="2">
        <v>14.5</v>
      </c>
      <c r="H35" s="5">
        <v>450</v>
      </c>
      <c r="I35" s="5">
        <v>358</v>
      </c>
      <c r="J35" s="6">
        <v>0.79555555555555557</v>
      </c>
      <c r="K35" s="5">
        <v>270</v>
      </c>
      <c r="L35" s="5">
        <v>289</v>
      </c>
      <c r="M35" s="6">
        <v>1.0703703703703704</v>
      </c>
      <c r="N35" s="5">
        <v>360</v>
      </c>
      <c r="O35" s="5">
        <v>355</v>
      </c>
      <c r="P35" s="6">
        <v>0.98611111111111116</v>
      </c>
      <c r="Q35" s="60">
        <f t="shared" si="0"/>
        <v>360</v>
      </c>
      <c r="R35" s="63">
        <v>387</v>
      </c>
      <c r="S35" s="62">
        <f t="shared" si="1"/>
        <v>1.075</v>
      </c>
    </row>
    <row r="36" spans="1:19" ht="30">
      <c r="A36" s="3">
        <v>35</v>
      </c>
      <c r="B36" s="1" t="s">
        <v>16</v>
      </c>
      <c r="C36" s="1" t="s">
        <v>50</v>
      </c>
      <c r="D36" s="2">
        <v>15.25</v>
      </c>
      <c r="E36" s="2">
        <v>15.25</v>
      </c>
      <c r="F36" s="2">
        <v>15</v>
      </c>
      <c r="G36" s="2">
        <v>18.5</v>
      </c>
      <c r="H36" s="5">
        <v>855</v>
      </c>
      <c r="I36" s="5">
        <v>983</v>
      </c>
      <c r="J36" s="6">
        <v>1.1497076023391812</v>
      </c>
      <c r="K36" s="5">
        <v>675</v>
      </c>
      <c r="L36" s="5">
        <v>706</v>
      </c>
      <c r="M36" s="6">
        <v>1.0459259259259259</v>
      </c>
      <c r="N36" s="5">
        <v>675</v>
      </c>
      <c r="O36" s="5">
        <v>1045</v>
      </c>
      <c r="P36" s="6">
        <v>1.5481481481481481</v>
      </c>
      <c r="Q36" s="60">
        <f t="shared" si="0"/>
        <v>675</v>
      </c>
      <c r="R36" s="63">
        <v>1139</v>
      </c>
      <c r="S36" s="62">
        <f t="shared" si="1"/>
        <v>1.6874074074074075</v>
      </c>
    </row>
    <row r="37" spans="1:19" ht="30">
      <c r="A37" s="3">
        <v>36</v>
      </c>
      <c r="B37" s="1" t="s">
        <v>16</v>
      </c>
      <c r="C37" s="1" t="s">
        <v>51</v>
      </c>
      <c r="D37" s="2">
        <v>16.25</v>
      </c>
      <c r="E37" s="2">
        <v>16.25</v>
      </c>
      <c r="F37" s="2">
        <v>16.25</v>
      </c>
      <c r="G37" s="2">
        <v>19.25</v>
      </c>
      <c r="H37" s="5">
        <v>765</v>
      </c>
      <c r="I37" s="5">
        <v>800</v>
      </c>
      <c r="J37" s="6">
        <v>1.0457516339869282</v>
      </c>
      <c r="K37" s="5">
        <v>540</v>
      </c>
      <c r="L37" s="5">
        <v>514</v>
      </c>
      <c r="M37" s="6">
        <v>0.95185185185185184</v>
      </c>
      <c r="N37" s="5">
        <v>675</v>
      </c>
      <c r="O37" s="5">
        <v>888</v>
      </c>
      <c r="P37" s="6">
        <v>1.3155555555555556</v>
      </c>
      <c r="Q37" s="60">
        <f t="shared" si="0"/>
        <v>675</v>
      </c>
      <c r="R37" s="63">
        <v>968</v>
      </c>
      <c r="S37" s="62">
        <f t="shared" si="1"/>
        <v>1.4340740740740741</v>
      </c>
    </row>
    <row r="38" spans="1:19" ht="30">
      <c r="A38" s="3">
        <v>37</v>
      </c>
      <c r="B38" s="1" t="s">
        <v>16</v>
      </c>
      <c r="C38" s="1" t="s">
        <v>52</v>
      </c>
      <c r="D38" s="2">
        <v>12</v>
      </c>
      <c r="E38" s="2">
        <v>12</v>
      </c>
      <c r="F38" s="2">
        <v>10.5</v>
      </c>
      <c r="G38" s="2">
        <v>12.5</v>
      </c>
      <c r="H38" s="5">
        <v>675</v>
      </c>
      <c r="I38" s="5">
        <v>382</v>
      </c>
      <c r="J38" s="6">
        <v>0.56592592592592594</v>
      </c>
      <c r="K38" s="5">
        <v>675</v>
      </c>
      <c r="L38" s="5">
        <v>261</v>
      </c>
      <c r="M38" s="6">
        <v>0.38666666666666666</v>
      </c>
      <c r="N38" s="5">
        <v>720</v>
      </c>
      <c r="O38" s="5">
        <v>266</v>
      </c>
      <c r="P38" s="6">
        <v>0.36944444444444446</v>
      </c>
      <c r="Q38" s="60">
        <f t="shared" si="0"/>
        <v>720</v>
      </c>
      <c r="R38" s="63">
        <v>290</v>
      </c>
      <c r="S38" s="62">
        <f t="shared" si="1"/>
        <v>0.40277777777777779</v>
      </c>
    </row>
    <row r="39" spans="1:19" ht="30">
      <c r="A39" s="3">
        <v>38</v>
      </c>
      <c r="B39" s="1" t="s">
        <v>16</v>
      </c>
      <c r="C39" s="1" t="s">
        <v>53</v>
      </c>
      <c r="D39" s="2">
        <v>11</v>
      </c>
      <c r="E39" s="2">
        <v>11</v>
      </c>
      <c r="F39" s="2">
        <v>10.5</v>
      </c>
      <c r="G39" s="2">
        <v>12</v>
      </c>
      <c r="H39" s="5">
        <v>855</v>
      </c>
      <c r="I39" s="5">
        <v>384</v>
      </c>
      <c r="J39" s="6">
        <v>0.44912280701754387</v>
      </c>
      <c r="K39" s="5">
        <v>810</v>
      </c>
      <c r="L39" s="5">
        <v>343</v>
      </c>
      <c r="M39" s="6">
        <v>0.42345679012345677</v>
      </c>
      <c r="N39" s="5">
        <v>1125</v>
      </c>
      <c r="O39" s="5">
        <v>286</v>
      </c>
      <c r="P39" s="6">
        <v>0.25422222222222224</v>
      </c>
      <c r="Q39" s="60">
        <f t="shared" si="0"/>
        <v>1125</v>
      </c>
      <c r="R39" s="63">
        <v>312</v>
      </c>
      <c r="S39" s="62">
        <f t="shared" si="1"/>
        <v>0.27733333333333332</v>
      </c>
    </row>
    <row r="40" spans="1:19" ht="30">
      <c r="A40" s="3">
        <v>39</v>
      </c>
      <c r="B40" s="1" t="s">
        <v>16</v>
      </c>
      <c r="C40" s="1" t="s">
        <v>54</v>
      </c>
      <c r="D40" s="2">
        <v>14.75</v>
      </c>
      <c r="E40" s="2">
        <v>14.75</v>
      </c>
      <c r="F40" s="2">
        <v>13.5</v>
      </c>
      <c r="G40" s="2">
        <v>16.5</v>
      </c>
      <c r="H40" s="5">
        <v>585</v>
      </c>
      <c r="I40" s="5">
        <v>667</v>
      </c>
      <c r="J40" s="6">
        <v>1.1401709401709401</v>
      </c>
      <c r="K40" s="5">
        <v>585</v>
      </c>
      <c r="L40" s="5">
        <v>563</v>
      </c>
      <c r="M40" s="6">
        <v>0.96239316239316242</v>
      </c>
      <c r="N40" s="5">
        <v>765</v>
      </c>
      <c r="O40" s="5">
        <v>874</v>
      </c>
      <c r="P40" s="6">
        <v>1.1424836601307189</v>
      </c>
      <c r="Q40" s="60">
        <f t="shared" si="0"/>
        <v>765</v>
      </c>
      <c r="R40" s="63">
        <v>953</v>
      </c>
      <c r="S40" s="62">
        <f t="shared" si="1"/>
        <v>1.2457516339869281</v>
      </c>
    </row>
    <row r="41" spans="1:19" ht="30">
      <c r="A41" s="3">
        <v>40</v>
      </c>
      <c r="B41" s="1" t="s">
        <v>16</v>
      </c>
      <c r="C41" s="1" t="s">
        <v>55</v>
      </c>
      <c r="D41" s="2">
        <v>18.25</v>
      </c>
      <c r="E41" s="2">
        <v>18.25</v>
      </c>
      <c r="F41" s="2">
        <v>18.75</v>
      </c>
      <c r="G41" s="2">
        <v>20.75</v>
      </c>
      <c r="H41" s="5">
        <v>855</v>
      </c>
      <c r="I41" s="5">
        <v>1105</v>
      </c>
      <c r="J41" s="6">
        <v>1.2923976608187135</v>
      </c>
      <c r="K41" s="5">
        <v>675</v>
      </c>
      <c r="L41" s="5">
        <v>867</v>
      </c>
      <c r="M41" s="6">
        <v>1.2844444444444445</v>
      </c>
      <c r="N41" s="5">
        <v>855</v>
      </c>
      <c r="O41" s="5">
        <v>1013</v>
      </c>
      <c r="P41" s="6">
        <v>1.184795321637427</v>
      </c>
      <c r="Q41" s="60">
        <f t="shared" si="0"/>
        <v>855</v>
      </c>
      <c r="R41" s="63">
        <v>1104</v>
      </c>
      <c r="S41" s="62">
        <f t="shared" si="1"/>
        <v>1.2912280701754386</v>
      </c>
    </row>
    <row r="42" spans="1:19" ht="30">
      <c r="A42" s="3">
        <v>41</v>
      </c>
      <c r="B42" s="1" t="s">
        <v>16</v>
      </c>
      <c r="C42" s="1" t="s">
        <v>56</v>
      </c>
      <c r="D42" s="2">
        <v>19.5</v>
      </c>
      <c r="E42" s="2">
        <v>19.5</v>
      </c>
      <c r="F42" s="2">
        <v>18.75</v>
      </c>
      <c r="G42" s="2">
        <v>21.75</v>
      </c>
      <c r="H42" s="5">
        <v>595</v>
      </c>
      <c r="I42" s="5">
        <v>664</v>
      </c>
      <c r="J42" s="6">
        <v>1.1159663865546219</v>
      </c>
      <c r="K42" s="5">
        <v>595</v>
      </c>
      <c r="L42" s="5">
        <v>562</v>
      </c>
      <c r="M42" s="6">
        <v>0.9445378151260504</v>
      </c>
      <c r="N42" s="5">
        <v>595</v>
      </c>
      <c r="O42" s="5">
        <v>823</v>
      </c>
      <c r="P42" s="6">
        <v>1.3831932773109243</v>
      </c>
      <c r="Q42" s="60">
        <f t="shared" si="0"/>
        <v>595</v>
      </c>
      <c r="R42" s="63">
        <v>898</v>
      </c>
      <c r="S42" s="62">
        <f t="shared" si="1"/>
        <v>1.5092436974789916</v>
      </c>
    </row>
    <row r="43" spans="1:19" ht="30">
      <c r="A43" s="3">
        <v>42</v>
      </c>
      <c r="B43" s="1" t="s">
        <v>16</v>
      </c>
      <c r="C43" s="1" t="s">
        <v>57</v>
      </c>
      <c r="D43" s="2">
        <v>15.25</v>
      </c>
      <c r="E43" s="2">
        <v>15.25</v>
      </c>
      <c r="F43" s="2">
        <v>13.75</v>
      </c>
      <c r="G43" s="2">
        <v>16.25</v>
      </c>
      <c r="H43" s="5">
        <v>720</v>
      </c>
      <c r="I43" s="5">
        <v>583</v>
      </c>
      <c r="J43" s="6">
        <v>0.80972222222222223</v>
      </c>
      <c r="K43" s="5">
        <v>630</v>
      </c>
      <c r="L43" s="5">
        <v>419</v>
      </c>
      <c r="M43" s="6">
        <v>0.66507936507936505</v>
      </c>
      <c r="N43" s="5">
        <v>900</v>
      </c>
      <c r="O43" s="5">
        <v>625</v>
      </c>
      <c r="P43" s="6">
        <v>0.69444444444444442</v>
      </c>
      <c r="Q43" s="60">
        <f t="shared" si="0"/>
        <v>900</v>
      </c>
      <c r="R43" s="63">
        <v>681</v>
      </c>
      <c r="S43" s="62">
        <f t="shared" si="1"/>
        <v>0.75666666666666671</v>
      </c>
    </row>
    <row r="44" spans="1:19" ht="30">
      <c r="A44" s="3">
        <v>43</v>
      </c>
      <c r="B44" s="1" t="s">
        <v>16</v>
      </c>
      <c r="C44" s="1" t="s">
        <v>58</v>
      </c>
      <c r="D44" s="2">
        <v>15</v>
      </c>
      <c r="E44" s="2">
        <v>15</v>
      </c>
      <c r="F44" s="2">
        <v>11.75</v>
      </c>
      <c r="G44" s="2">
        <v>15</v>
      </c>
      <c r="H44" s="5">
        <v>450</v>
      </c>
      <c r="I44" s="5">
        <v>241</v>
      </c>
      <c r="J44" s="6">
        <v>0.53555555555555556</v>
      </c>
      <c r="K44" s="5">
        <v>450</v>
      </c>
      <c r="L44" s="5">
        <v>123</v>
      </c>
      <c r="M44" s="6">
        <v>0.27333333333333332</v>
      </c>
      <c r="N44" s="5">
        <v>450</v>
      </c>
      <c r="O44" s="5">
        <v>228</v>
      </c>
      <c r="P44" s="6">
        <v>0.50666666666666671</v>
      </c>
      <c r="Q44" s="60">
        <f t="shared" si="0"/>
        <v>450</v>
      </c>
      <c r="R44" s="63">
        <v>248</v>
      </c>
      <c r="S44" s="62">
        <f t="shared" si="1"/>
        <v>0.55111111111111111</v>
      </c>
    </row>
    <row r="45" spans="1:19" ht="30">
      <c r="A45" s="3">
        <v>44</v>
      </c>
      <c r="B45" s="1" t="s">
        <v>16</v>
      </c>
      <c r="C45" s="1" t="s">
        <v>59</v>
      </c>
      <c r="D45" s="2">
        <v>14.25</v>
      </c>
      <c r="E45" s="2">
        <v>14.25</v>
      </c>
      <c r="F45" s="2">
        <v>11.25</v>
      </c>
      <c r="G45" s="2">
        <v>13.5</v>
      </c>
      <c r="H45" s="5">
        <v>270</v>
      </c>
      <c r="I45" s="5">
        <v>333</v>
      </c>
      <c r="J45" s="6">
        <v>1.2333333333333334</v>
      </c>
      <c r="K45" s="5">
        <v>270</v>
      </c>
      <c r="L45" s="5">
        <v>172</v>
      </c>
      <c r="M45" s="6">
        <v>0.63703703703703707</v>
      </c>
      <c r="N45" s="5">
        <v>450</v>
      </c>
      <c r="O45" s="5">
        <v>149</v>
      </c>
      <c r="P45" s="6">
        <v>0.33111111111111113</v>
      </c>
      <c r="Q45" s="60">
        <f t="shared" si="0"/>
        <v>450</v>
      </c>
      <c r="R45" s="63">
        <v>162</v>
      </c>
      <c r="S45" s="62">
        <f t="shared" si="1"/>
        <v>0.36</v>
      </c>
    </row>
    <row r="46" spans="1:19" ht="30">
      <c r="A46" s="3">
        <v>45</v>
      </c>
      <c r="B46" s="1" t="s">
        <v>16</v>
      </c>
      <c r="C46" s="1" t="s">
        <v>60</v>
      </c>
      <c r="D46" s="2">
        <v>19.75</v>
      </c>
      <c r="E46" s="2">
        <v>19.75</v>
      </c>
      <c r="F46" s="2">
        <v>16.25</v>
      </c>
      <c r="G46" s="2">
        <v>19.75</v>
      </c>
      <c r="H46" s="5">
        <v>455</v>
      </c>
      <c r="I46" s="5">
        <v>757</v>
      </c>
      <c r="J46" s="6">
        <v>1.6637362637362638</v>
      </c>
      <c r="K46" s="5">
        <v>455</v>
      </c>
      <c r="L46" s="5">
        <v>409</v>
      </c>
      <c r="M46" s="6">
        <v>0.89890109890109893</v>
      </c>
      <c r="N46" s="5">
        <v>595</v>
      </c>
      <c r="O46" s="5">
        <v>739</v>
      </c>
      <c r="P46" s="6">
        <v>1.2420168067226891</v>
      </c>
      <c r="Q46" s="60">
        <f t="shared" si="0"/>
        <v>595</v>
      </c>
      <c r="R46" s="63">
        <v>805</v>
      </c>
      <c r="S46" s="62">
        <f t="shared" si="1"/>
        <v>1.3529411764705883</v>
      </c>
    </row>
    <row r="47" spans="1:19" ht="30">
      <c r="A47" s="3">
        <v>46</v>
      </c>
      <c r="B47" s="1" t="s">
        <v>16</v>
      </c>
      <c r="C47" s="1" t="s">
        <v>61</v>
      </c>
      <c r="D47" s="2">
        <v>16.75</v>
      </c>
      <c r="E47" s="2">
        <v>16.75</v>
      </c>
      <c r="F47" s="2">
        <v>16</v>
      </c>
      <c r="G47" s="2">
        <v>17.75</v>
      </c>
      <c r="H47" s="5">
        <v>945</v>
      </c>
      <c r="I47" s="5">
        <v>991</v>
      </c>
      <c r="J47" s="6">
        <v>1.0486772486772487</v>
      </c>
      <c r="K47" s="5">
        <v>765</v>
      </c>
      <c r="L47" s="5">
        <v>806</v>
      </c>
      <c r="M47" s="6">
        <v>1.0535947712418301</v>
      </c>
      <c r="N47" s="5">
        <v>990</v>
      </c>
      <c r="O47" s="5">
        <v>1027</v>
      </c>
      <c r="P47" s="6">
        <v>1.0373737373737373</v>
      </c>
      <c r="Q47" s="60">
        <f t="shared" si="0"/>
        <v>990</v>
      </c>
      <c r="R47" s="63">
        <v>1120</v>
      </c>
      <c r="S47" s="62">
        <f t="shared" si="1"/>
        <v>1.1313131313131313</v>
      </c>
    </row>
    <row r="48" spans="1:19" ht="30">
      <c r="A48" s="3">
        <v>47</v>
      </c>
      <c r="B48" s="1" t="s">
        <v>16</v>
      </c>
      <c r="C48" s="1" t="s">
        <v>62</v>
      </c>
      <c r="D48" s="2">
        <v>15.5</v>
      </c>
      <c r="E48" s="2">
        <v>15.5</v>
      </c>
      <c r="F48" s="2">
        <v>13.75</v>
      </c>
      <c r="G48" s="2">
        <v>16.5</v>
      </c>
      <c r="H48" s="5">
        <v>855</v>
      </c>
      <c r="I48" s="5">
        <v>1139</v>
      </c>
      <c r="J48" s="6">
        <v>1.3321637426900585</v>
      </c>
      <c r="K48" s="5">
        <v>720</v>
      </c>
      <c r="L48" s="5">
        <v>680</v>
      </c>
      <c r="M48" s="6">
        <v>0.94444444444444442</v>
      </c>
      <c r="N48" s="5">
        <v>765</v>
      </c>
      <c r="O48" s="5">
        <v>849</v>
      </c>
      <c r="P48" s="6">
        <v>1.1098039215686275</v>
      </c>
      <c r="Q48" s="60">
        <f t="shared" si="0"/>
        <v>765</v>
      </c>
      <c r="R48" s="63">
        <v>925</v>
      </c>
      <c r="S48" s="62">
        <f t="shared" si="1"/>
        <v>1.2091503267973855</v>
      </c>
    </row>
    <row r="49" spans="1:19" ht="30">
      <c r="A49" s="3">
        <v>48</v>
      </c>
      <c r="B49" s="1" t="s">
        <v>16</v>
      </c>
      <c r="C49" s="1" t="s">
        <v>63</v>
      </c>
      <c r="D49" s="2">
        <v>20.75</v>
      </c>
      <c r="E49" s="2">
        <v>20.75</v>
      </c>
      <c r="F49" s="2">
        <v>21.5</v>
      </c>
      <c r="G49" s="2">
        <v>22.5</v>
      </c>
      <c r="H49" s="5">
        <v>675</v>
      </c>
      <c r="I49" s="5">
        <v>1169</v>
      </c>
      <c r="J49" s="6">
        <v>1.7318518518518518</v>
      </c>
      <c r="K49" s="5">
        <v>450</v>
      </c>
      <c r="L49" s="5">
        <v>800</v>
      </c>
      <c r="M49" s="6">
        <v>1.7777777777777777</v>
      </c>
      <c r="N49" s="5">
        <v>765</v>
      </c>
      <c r="O49" s="5">
        <v>1471</v>
      </c>
      <c r="P49" s="6">
        <v>1.9228758169934641</v>
      </c>
      <c r="Q49" s="60">
        <f t="shared" si="0"/>
        <v>765</v>
      </c>
      <c r="R49" s="63">
        <v>1603</v>
      </c>
      <c r="S49" s="62">
        <f t="shared" si="1"/>
        <v>2.0954248366013073</v>
      </c>
    </row>
    <row r="50" spans="1:19" ht="30">
      <c r="A50" s="3">
        <v>49</v>
      </c>
      <c r="B50" s="1" t="s">
        <v>16</v>
      </c>
      <c r="C50" s="1" t="s">
        <v>64</v>
      </c>
      <c r="D50" s="2">
        <v>18</v>
      </c>
      <c r="E50" s="2">
        <v>18</v>
      </c>
      <c r="F50" s="2">
        <v>17.25</v>
      </c>
      <c r="G50" s="2">
        <v>19.25</v>
      </c>
      <c r="H50" s="5">
        <v>900</v>
      </c>
      <c r="I50" s="5">
        <v>1571</v>
      </c>
      <c r="J50" s="6">
        <v>1.7455555555555555</v>
      </c>
      <c r="K50" s="5">
        <v>900</v>
      </c>
      <c r="L50" s="5">
        <v>1171</v>
      </c>
      <c r="M50" s="6">
        <v>1.3011111111111111</v>
      </c>
      <c r="N50" s="5">
        <v>900</v>
      </c>
      <c r="O50" s="5">
        <v>1653</v>
      </c>
      <c r="P50" s="6">
        <v>1.8366666666666667</v>
      </c>
      <c r="Q50" s="60">
        <f t="shared" si="0"/>
        <v>900</v>
      </c>
      <c r="R50" s="63">
        <v>1801</v>
      </c>
      <c r="S50" s="62">
        <f t="shared" si="1"/>
        <v>2.0011111111111113</v>
      </c>
    </row>
    <row r="51" spans="1:19" s="13" customFormat="1" ht="30">
      <c r="A51" s="3">
        <v>50</v>
      </c>
      <c r="B51" s="9" t="s">
        <v>16</v>
      </c>
      <c r="C51" s="9" t="s">
        <v>65</v>
      </c>
      <c r="D51" s="10">
        <v>16</v>
      </c>
      <c r="E51" s="10">
        <v>16</v>
      </c>
      <c r="F51" s="10">
        <v>16</v>
      </c>
      <c r="G51" s="10">
        <v>16</v>
      </c>
      <c r="H51" s="11">
        <f>N51</f>
        <v>810</v>
      </c>
      <c r="I51" s="11">
        <f>H51</f>
        <v>810</v>
      </c>
      <c r="J51" s="11">
        <f>I51/H51</f>
        <v>1</v>
      </c>
      <c r="K51" s="11">
        <f>N51</f>
        <v>810</v>
      </c>
      <c r="L51" s="11">
        <f>N51</f>
        <v>810</v>
      </c>
      <c r="M51" s="12">
        <f>L51/K51</f>
        <v>1</v>
      </c>
      <c r="N51" s="11">
        <v>810</v>
      </c>
      <c r="O51" s="11">
        <f>N51</f>
        <v>810</v>
      </c>
      <c r="P51" s="12">
        <f>O51/N51</f>
        <v>1</v>
      </c>
      <c r="Q51" s="60">
        <f t="shared" si="0"/>
        <v>810</v>
      </c>
      <c r="R51" s="63">
        <v>883</v>
      </c>
      <c r="S51" s="62">
        <f t="shared" si="1"/>
        <v>1.0901234567901235</v>
      </c>
    </row>
    <row r="52" spans="1:19" s="13" customFormat="1" ht="30">
      <c r="A52" s="3">
        <v>51</v>
      </c>
      <c r="B52" s="9" t="s">
        <v>16</v>
      </c>
      <c r="C52" s="9" t="s">
        <v>66</v>
      </c>
      <c r="D52" s="10">
        <f>G52</f>
        <v>16.25</v>
      </c>
      <c r="E52" s="10">
        <f>D52</f>
        <v>16.25</v>
      </c>
      <c r="F52" s="10">
        <f>G52</f>
        <v>16.25</v>
      </c>
      <c r="G52" s="10">
        <v>16.25</v>
      </c>
      <c r="H52" s="11">
        <v>450</v>
      </c>
      <c r="I52" s="11">
        <v>450</v>
      </c>
      <c r="J52" s="11">
        <f>I52/H52</f>
        <v>1</v>
      </c>
      <c r="K52" s="11">
        <f>H52</f>
        <v>450</v>
      </c>
      <c r="L52" s="11">
        <f>I52</f>
        <v>450</v>
      </c>
      <c r="M52" s="12">
        <f>L52/K52</f>
        <v>1</v>
      </c>
      <c r="N52" s="11">
        <v>450</v>
      </c>
      <c r="O52" s="11">
        <f>N52</f>
        <v>450</v>
      </c>
      <c r="P52" s="12">
        <f>O52/N52</f>
        <v>1</v>
      </c>
      <c r="Q52" s="60">
        <f t="shared" si="0"/>
        <v>450</v>
      </c>
      <c r="R52" s="63">
        <v>490</v>
      </c>
      <c r="S52" s="62">
        <f t="shared" si="1"/>
        <v>1.0888888888888888</v>
      </c>
    </row>
    <row r="53" spans="1:19" ht="30">
      <c r="A53" s="3">
        <v>52</v>
      </c>
      <c r="B53" s="1" t="s">
        <v>16</v>
      </c>
      <c r="C53" s="1" t="s">
        <v>67</v>
      </c>
      <c r="D53" s="2">
        <v>16.25</v>
      </c>
      <c r="E53" s="2">
        <v>16.25</v>
      </c>
      <c r="F53" s="2">
        <v>15.5</v>
      </c>
      <c r="G53" s="2">
        <v>17.5</v>
      </c>
      <c r="H53" s="5">
        <v>765</v>
      </c>
      <c r="I53" s="5">
        <v>1554</v>
      </c>
      <c r="J53" s="6">
        <v>2.0313725490196077</v>
      </c>
      <c r="K53" s="5">
        <v>765</v>
      </c>
      <c r="L53" s="5">
        <v>1252</v>
      </c>
      <c r="M53" s="6">
        <v>1.6366013071895424</v>
      </c>
      <c r="N53" s="5">
        <v>810</v>
      </c>
      <c r="O53" s="5">
        <v>1708</v>
      </c>
      <c r="P53" s="6">
        <v>2.1086419753086418</v>
      </c>
      <c r="Q53" s="60">
        <f t="shared" si="0"/>
        <v>810</v>
      </c>
      <c r="R53" s="61">
        <f>O53*1.09</f>
        <v>1861.72</v>
      </c>
      <c r="S53" s="62">
        <f t="shared" si="1"/>
        <v>2.2984197530864199</v>
      </c>
    </row>
    <row r="54" spans="1:19" ht="30">
      <c r="A54" s="3">
        <v>53</v>
      </c>
      <c r="B54" s="1" t="s">
        <v>16</v>
      </c>
      <c r="C54" s="1" t="s">
        <v>68</v>
      </c>
      <c r="D54" s="2">
        <v>15</v>
      </c>
      <c r="E54" s="2">
        <v>15</v>
      </c>
      <c r="F54" s="2">
        <v>13.75</v>
      </c>
      <c r="G54" s="2">
        <v>16.25</v>
      </c>
      <c r="H54" s="5">
        <v>810</v>
      </c>
      <c r="I54" s="5">
        <v>692</v>
      </c>
      <c r="J54" s="6">
        <v>0.85432098765432096</v>
      </c>
      <c r="K54" s="5">
        <v>495</v>
      </c>
      <c r="L54" s="5">
        <v>490</v>
      </c>
      <c r="M54" s="6">
        <v>0.98989898989898994</v>
      </c>
      <c r="N54" s="5">
        <v>720</v>
      </c>
      <c r="O54" s="5">
        <v>592</v>
      </c>
      <c r="P54" s="6">
        <v>0.82222222222222219</v>
      </c>
      <c r="Q54" s="60">
        <f t="shared" si="0"/>
        <v>720</v>
      </c>
      <c r="R54" s="61">
        <f>O54*1.09</f>
        <v>645.28000000000009</v>
      </c>
      <c r="S54" s="62">
        <f t="shared" si="1"/>
        <v>0.89622222222222236</v>
      </c>
    </row>
    <row r="55" spans="1:19" ht="30">
      <c r="A55" s="3">
        <v>54</v>
      </c>
      <c r="B55" s="1" t="s">
        <v>16</v>
      </c>
      <c r="C55" s="1" t="s">
        <v>69</v>
      </c>
      <c r="D55" s="2">
        <v>19.5</v>
      </c>
      <c r="E55" s="2">
        <v>19.5</v>
      </c>
      <c r="F55" s="2">
        <v>17.75</v>
      </c>
      <c r="G55" s="2">
        <v>21</v>
      </c>
      <c r="H55" s="5">
        <v>900</v>
      </c>
      <c r="I55" s="5">
        <v>1139</v>
      </c>
      <c r="J55" s="6">
        <v>1.2655555555555555</v>
      </c>
      <c r="K55" s="5">
        <v>855</v>
      </c>
      <c r="L55" s="5">
        <v>879</v>
      </c>
      <c r="M55" s="6">
        <v>1.0280701754385966</v>
      </c>
      <c r="N55" s="5">
        <v>855</v>
      </c>
      <c r="O55" s="5">
        <v>1195</v>
      </c>
      <c r="P55" s="6">
        <v>1.3976608187134503</v>
      </c>
      <c r="Q55" s="60">
        <f t="shared" si="0"/>
        <v>855</v>
      </c>
      <c r="R55" s="61">
        <f>O55*1.09</f>
        <v>1302.5500000000002</v>
      </c>
      <c r="S55" s="62">
        <f t="shared" si="1"/>
        <v>1.5234502923976609</v>
      </c>
    </row>
    <row r="56" spans="1:19" ht="30">
      <c r="A56" s="3">
        <v>55</v>
      </c>
      <c r="B56" s="1" t="s">
        <v>16</v>
      </c>
      <c r="C56" s="1" t="s">
        <v>70</v>
      </c>
      <c r="D56" s="2">
        <v>23</v>
      </c>
      <c r="E56" s="2">
        <v>23</v>
      </c>
      <c r="F56" s="2">
        <v>18.75</v>
      </c>
      <c r="G56" s="2">
        <v>23.5</v>
      </c>
      <c r="H56" s="5">
        <v>540</v>
      </c>
      <c r="I56" s="5">
        <v>1308</v>
      </c>
      <c r="J56" s="6">
        <v>2.4222222222222221</v>
      </c>
      <c r="K56" s="5">
        <v>855</v>
      </c>
      <c r="L56" s="5">
        <v>941</v>
      </c>
      <c r="M56" s="6">
        <v>1.1005847953216374</v>
      </c>
      <c r="N56" s="5">
        <v>855</v>
      </c>
      <c r="O56" s="5">
        <v>1775</v>
      </c>
      <c r="P56" s="6">
        <v>2.0760233918128654</v>
      </c>
      <c r="Q56" s="60">
        <f t="shared" si="0"/>
        <v>855</v>
      </c>
      <c r="R56" s="61">
        <f>O56*1.09</f>
        <v>1934.7500000000002</v>
      </c>
      <c r="S56" s="62">
        <f t="shared" si="1"/>
        <v>2.2628654970760236</v>
      </c>
    </row>
    <row r="57" spans="1:19" ht="30">
      <c r="A57" s="3">
        <v>56</v>
      </c>
      <c r="B57" s="1" t="s">
        <v>16</v>
      </c>
      <c r="C57" s="1" t="s">
        <v>71</v>
      </c>
      <c r="D57" s="2">
        <v>16</v>
      </c>
      <c r="E57" s="2">
        <v>16</v>
      </c>
      <c r="F57" s="2">
        <v>13.5</v>
      </c>
      <c r="G57" s="2">
        <v>17.5</v>
      </c>
      <c r="H57" s="5">
        <v>675</v>
      </c>
      <c r="I57" s="5">
        <v>692</v>
      </c>
      <c r="J57" s="6">
        <v>1.0251851851851852</v>
      </c>
      <c r="K57" s="5">
        <v>675</v>
      </c>
      <c r="L57" s="5">
        <v>485</v>
      </c>
      <c r="M57" s="6">
        <v>0.71851851851851856</v>
      </c>
      <c r="N57" s="5">
        <v>810</v>
      </c>
      <c r="O57" s="5">
        <v>627</v>
      </c>
      <c r="P57" s="6">
        <v>0.77407407407407403</v>
      </c>
      <c r="Q57" s="60">
        <f t="shared" si="0"/>
        <v>810</v>
      </c>
      <c r="R57" s="61">
        <f>O57*1.09</f>
        <v>683.43000000000006</v>
      </c>
      <c r="S57" s="62">
        <f t="shared" si="1"/>
        <v>0.84374074074074079</v>
      </c>
    </row>
    <row r="58" spans="1:19" ht="30">
      <c r="A58" s="3">
        <v>57</v>
      </c>
      <c r="B58" s="1" t="s">
        <v>16</v>
      </c>
      <c r="C58" s="1" t="s">
        <v>72</v>
      </c>
      <c r="D58" s="2">
        <v>17.25</v>
      </c>
      <c r="E58" s="2">
        <v>17.25</v>
      </c>
      <c r="F58" s="2">
        <v>14.75</v>
      </c>
      <c r="G58" s="2">
        <v>18</v>
      </c>
      <c r="H58" s="5">
        <v>630</v>
      </c>
      <c r="I58" s="5">
        <v>820</v>
      </c>
      <c r="J58" s="6">
        <v>1.3015873015873016</v>
      </c>
      <c r="K58" s="5">
        <v>675</v>
      </c>
      <c r="L58" s="5">
        <v>619</v>
      </c>
      <c r="M58" s="6">
        <v>0.91703703703703698</v>
      </c>
      <c r="N58" s="5">
        <v>900</v>
      </c>
      <c r="O58" s="5">
        <v>856</v>
      </c>
      <c r="P58" s="6">
        <v>0.95111111111111113</v>
      </c>
      <c r="Q58" s="60">
        <f t="shared" si="0"/>
        <v>900</v>
      </c>
      <c r="R58" s="61">
        <f>O58*1.09</f>
        <v>933.04000000000008</v>
      </c>
      <c r="S58" s="62">
        <f t="shared" si="1"/>
        <v>1.0367111111111111</v>
      </c>
    </row>
    <row r="59" spans="1:19" ht="30">
      <c r="A59" s="3">
        <v>58</v>
      </c>
      <c r="B59" s="1" t="s">
        <v>16</v>
      </c>
      <c r="C59" s="1" t="s">
        <v>73</v>
      </c>
      <c r="D59" s="2">
        <v>18.25</v>
      </c>
      <c r="E59" s="2">
        <v>18.25</v>
      </c>
      <c r="F59" s="2">
        <v>16.75</v>
      </c>
      <c r="G59" s="2">
        <v>20.75</v>
      </c>
      <c r="H59" s="5">
        <v>1035</v>
      </c>
      <c r="I59" s="5">
        <v>1212</v>
      </c>
      <c r="J59" s="6">
        <v>1.1710144927536232</v>
      </c>
      <c r="K59" s="5">
        <v>855</v>
      </c>
      <c r="L59" s="5">
        <v>894</v>
      </c>
      <c r="M59" s="6">
        <v>1.0456140350877192</v>
      </c>
      <c r="N59" s="5">
        <v>855</v>
      </c>
      <c r="O59" s="5">
        <v>1351</v>
      </c>
      <c r="P59" s="6">
        <v>1.5801169590643276</v>
      </c>
      <c r="Q59" s="60">
        <f t="shared" si="0"/>
        <v>855</v>
      </c>
      <c r="R59" s="61">
        <f>O59*1.09</f>
        <v>1472.5900000000001</v>
      </c>
      <c r="S59" s="62">
        <f t="shared" si="1"/>
        <v>1.7223274853801172</v>
      </c>
    </row>
    <row r="60" spans="1:19" ht="30">
      <c r="A60" s="3">
        <v>59</v>
      </c>
      <c r="B60" s="1" t="s">
        <v>16</v>
      </c>
      <c r="C60" s="1" t="s">
        <v>74</v>
      </c>
      <c r="D60" s="2">
        <v>16.5</v>
      </c>
      <c r="E60" s="2">
        <v>16.5</v>
      </c>
      <c r="F60" s="2">
        <v>15.75</v>
      </c>
      <c r="G60" s="2">
        <v>18</v>
      </c>
      <c r="H60" s="5">
        <v>720</v>
      </c>
      <c r="I60" s="5">
        <v>678</v>
      </c>
      <c r="J60" s="6">
        <v>0.94166666666666665</v>
      </c>
      <c r="K60" s="5">
        <v>630</v>
      </c>
      <c r="L60" s="5">
        <v>551</v>
      </c>
      <c r="M60" s="6">
        <v>0.8746031746031746</v>
      </c>
      <c r="N60" s="5">
        <v>675</v>
      </c>
      <c r="O60" s="5">
        <v>794</v>
      </c>
      <c r="P60" s="6">
        <v>1.1762962962962964</v>
      </c>
      <c r="Q60" s="60">
        <f t="shared" si="0"/>
        <v>675</v>
      </c>
      <c r="R60" s="61">
        <f>O60*1.09</f>
        <v>865.46</v>
      </c>
      <c r="S60" s="62">
        <f t="shared" si="1"/>
        <v>1.2821629629629629</v>
      </c>
    </row>
    <row r="61" spans="1:19" ht="30">
      <c r="A61" s="3">
        <v>60</v>
      </c>
      <c r="B61" s="1" t="s">
        <v>16</v>
      </c>
      <c r="C61" s="1" t="s">
        <v>75</v>
      </c>
      <c r="D61" s="2">
        <v>20.25</v>
      </c>
      <c r="E61" s="2">
        <v>20.25</v>
      </c>
      <c r="F61" s="2">
        <v>20</v>
      </c>
      <c r="G61" s="2">
        <v>22</v>
      </c>
      <c r="H61" s="5">
        <v>900</v>
      </c>
      <c r="I61" s="5">
        <v>1271</v>
      </c>
      <c r="J61" s="6">
        <v>1.4122222222222223</v>
      </c>
      <c r="K61" s="5">
        <v>855</v>
      </c>
      <c r="L61" s="5">
        <v>1106</v>
      </c>
      <c r="M61" s="6">
        <v>1.2935672514619883</v>
      </c>
      <c r="N61" s="5">
        <v>855</v>
      </c>
      <c r="O61" s="5">
        <v>1567</v>
      </c>
      <c r="P61" s="6">
        <v>1.8327485380116959</v>
      </c>
      <c r="Q61" s="60">
        <f t="shared" si="0"/>
        <v>855</v>
      </c>
      <c r="R61" s="61">
        <f>O61*1.09</f>
        <v>1708.0300000000002</v>
      </c>
      <c r="S61" s="62">
        <f t="shared" si="1"/>
        <v>1.9976959064327489</v>
      </c>
    </row>
    <row r="62" spans="1:19" ht="30">
      <c r="A62" s="3">
        <v>61</v>
      </c>
      <c r="B62" s="1" t="s">
        <v>16</v>
      </c>
      <c r="C62" s="1" t="s">
        <v>76</v>
      </c>
      <c r="D62" s="2">
        <v>19.75</v>
      </c>
      <c r="E62" s="2">
        <v>19.75</v>
      </c>
      <c r="F62" s="2">
        <v>20.25</v>
      </c>
      <c r="G62" s="2">
        <v>22.25</v>
      </c>
      <c r="H62" s="5">
        <v>1035</v>
      </c>
      <c r="I62" s="5">
        <v>1811</v>
      </c>
      <c r="J62" s="6">
        <v>1.7497584541062803</v>
      </c>
      <c r="K62" s="5">
        <v>900</v>
      </c>
      <c r="L62" s="5">
        <v>1429</v>
      </c>
      <c r="M62" s="6">
        <v>1.5877777777777777</v>
      </c>
      <c r="N62" s="5">
        <v>990</v>
      </c>
      <c r="O62" s="5">
        <v>1707</v>
      </c>
      <c r="P62" s="6">
        <v>1.7242424242424241</v>
      </c>
      <c r="Q62" s="60">
        <f t="shared" si="0"/>
        <v>990</v>
      </c>
      <c r="R62" s="61">
        <f>O62*1.09</f>
        <v>1860.63</v>
      </c>
      <c r="S62" s="62">
        <f t="shared" si="1"/>
        <v>1.8794242424242424</v>
      </c>
    </row>
    <row r="63" spans="1:19" ht="30">
      <c r="A63" s="3">
        <v>62</v>
      </c>
      <c r="B63" s="1" t="s">
        <v>16</v>
      </c>
      <c r="C63" s="1" t="s">
        <v>77</v>
      </c>
      <c r="D63" s="2">
        <v>17.25</v>
      </c>
      <c r="E63" s="2">
        <v>17.25</v>
      </c>
      <c r="F63" s="2">
        <v>17.25</v>
      </c>
      <c r="G63" s="2">
        <v>19.75</v>
      </c>
      <c r="H63" s="5">
        <v>945</v>
      </c>
      <c r="I63" s="5">
        <v>1187</v>
      </c>
      <c r="J63" s="6">
        <v>1.2560846560846561</v>
      </c>
      <c r="K63" s="5">
        <v>900</v>
      </c>
      <c r="L63" s="5">
        <v>1146</v>
      </c>
      <c r="M63" s="6">
        <v>1.2733333333333334</v>
      </c>
      <c r="N63" s="5">
        <v>900</v>
      </c>
      <c r="O63" s="5">
        <v>1390</v>
      </c>
      <c r="P63" s="6">
        <v>1.5444444444444445</v>
      </c>
      <c r="Q63" s="60">
        <f t="shared" si="0"/>
        <v>900</v>
      </c>
      <c r="R63" s="61">
        <f>O63*1.09</f>
        <v>1515.1000000000001</v>
      </c>
      <c r="S63" s="62">
        <f t="shared" si="1"/>
        <v>1.6834444444444445</v>
      </c>
    </row>
    <row r="64" spans="1:19" ht="30">
      <c r="A64" s="3">
        <v>63</v>
      </c>
      <c r="B64" s="1" t="s">
        <v>16</v>
      </c>
      <c r="C64" s="1" t="s">
        <v>78</v>
      </c>
      <c r="D64" s="2">
        <v>22.5</v>
      </c>
      <c r="E64" s="2">
        <v>22.5</v>
      </c>
      <c r="F64" s="2">
        <v>22.5</v>
      </c>
      <c r="G64" s="2">
        <v>24</v>
      </c>
      <c r="H64" s="5">
        <v>765</v>
      </c>
      <c r="I64" s="5">
        <v>1572</v>
      </c>
      <c r="J64" s="6">
        <v>2.0549019607843135</v>
      </c>
      <c r="K64" s="5">
        <v>720</v>
      </c>
      <c r="L64" s="5">
        <v>1286</v>
      </c>
      <c r="M64" s="6">
        <v>1.7861111111111112</v>
      </c>
      <c r="N64" s="5">
        <v>855</v>
      </c>
      <c r="O64" s="5">
        <v>1901</v>
      </c>
      <c r="P64" s="6">
        <v>2.223391812865497</v>
      </c>
      <c r="Q64" s="60">
        <f t="shared" si="0"/>
        <v>855</v>
      </c>
      <c r="R64" s="61">
        <f>O64*1.09</f>
        <v>2072.09</v>
      </c>
      <c r="S64" s="62">
        <f t="shared" si="1"/>
        <v>2.4234970760233918</v>
      </c>
    </row>
    <row r="65" spans="1:19" ht="30">
      <c r="A65" s="3">
        <v>64</v>
      </c>
      <c r="B65" s="1" t="s">
        <v>16</v>
      </c>
      <c r="C65" s="1" t="s">
        <v>79</v>
      </c>
      <c r="D65" s="2">
        <v>15.25</v>
      </c>
      <c r="E65" s="2">
        <v>15.25</v>
      </c>
      <c r="F65" s="2">
        <v>13.5</v>
      </c>
      <c r="G65" s="2">
        <v>16.25</v>
      </c>
      <c r="H65" s="5">
        <v>585</v>
      </c>
      <c r="I65" s="5">
        <v>666</v>
      </c>
      <c r="J65" s="6">
        <v>1.1384615384615384</v>
      </c>
      <c r="K65" s="5">
        <v>630</v>
      </c>
      <c r="L65" s="5">
        <v>406</v>
      </c>
      <c r="M65" s="6">
        <v>0.64444444444444449</v>
      </c>
      <c r="N65" s="5">
        <v>765</v>
      </c>
      <c r="O65" s="5">
        <v>579</v>
      </c>
      <c r="P65" s="6">
        <v>0.75686274509803919</v>
      </c>
      <c r="Q65" s="60">
        <f t="shared" si="0"/>
        <v>765</v>
      </c>
      <c r="R65" s="61">
        <f>O65*1.09</f>
        <v>631.11</v>
      </c>
      <c r="S65" s="62">
        <f t="shared" si="1"/>
        <v>0.82498039215686281</v>
      </c>
    </row>
    <row r="66" spans="1:19" ht="30">
      <c r="A66" s="3">
        <v>65</v>
      </c>
      <c r="B66" s="1" t="s">
        <v>16</v>
      </c>
      <c r="C66" s="1" t="s">
        <v>80</v>
      </c>
      <c r="D66" s="2">
        <v>19.5</v>
      </c>
      <c r="E66" s="2">
        <v>19.5</v>
      </c>
      <c r="F66" s="2">
        <v>19.75</v>
      </c>
      <c r="G66" s="2">
        <v>21.5</v>
      </c>
      <c r="H66" s="5">
        <v>810</v>
      </c>
      <c r="I66" s="5">
        <v>1145</v>
      </c>
      <c r="J66" s="6">
        <v>1.4135802469135803</v>
      </c>
      <c r="K66" s="5">
        <v>675</v>
      </c>
      <c r="L66" s="5">
        <v>892</v>
      </c>
      <c r="M66" s="6">
        <v>1.3214814814814815</v>
      </c>
      <c r="N66" s="5">
        <v>855</v>
      </c>
      <c r="O66" s="5">
        <v>1014</v>
      </c>
      <c r="P66" s="6">
        <v>1.1859649122807017</v>
      </c>
      <c r="Q66" s="60">
        <f t="shared" si="0"/>
        <v>855</v>
      </c>
      <c r="R66" s="61">
        <f>O66*1.09</f>
        <v>1105.26</v>
      </c>
      <c r="S66" s="62">
        <f t="shared" si="1"/>
        <v>1.2927017543859649</v>
      </c>
    </row>
    <row r="67" spans="1:19" ht="30">
      <c r="A67" s="3">
        <v>66</v>
      </c>
      <c r="B67" s="1" t="s">
        <v>16</v>
      </c>
      <c r="C67" s="1" t="s">
        <v>81</v>
      </c>
      <c r="D67" s="2">
        <v>18.25</v>
      </c>
      <c r="E67" s="2">
        <v>18.25</v>
      </c>
      <c r="F67" s="2">
        <v>18</v>
      </c>
      <c r="G67" s="2">
        <v>20.25</v>
      </c>
      <c r="H67" s="5">
        <v>945</v>
      </c>
      <c r="I67" s="5">
        <v>932</v>
      </c>
      <c r="J67" s="6">
        <v>0.98624338624338626</v>
      </c>
      <c r="K67" s="5">
        <v>675</v>
      </c>
      <c r="L67" s="5">
        <v>684</v>
      </c>
      <c r="M67" s="6">
        <v>1.0133333333333334</v>
      </c>
      <c r="N67" s="5">
        <v>810</v>
      </c>
      <c r="O67" s="5">
        <v>833</v>
      </c>
      <c r="P67" s="6">
        <v>1.028395061728395</v>
      </c>
      <c r="Q67" s="60">
        <f t="shared" ref="Q67:Q130" si="2">N67</f>
        <v>810</v>
      </c>
      <c r="R67" s="61">
        <f t="shared" ref="R67:R130" si="3">O67*1.09</f>
        <v>907.97</v>
      </c>
      <c r="S67" s="62">
        <f t="shared" ref="S67:S130" si="4">R67/Q67</f>
        <v>1.1209506172839507</v>
      </c>
    </row>
    <row r="68" spans="1:19" ht="30">
      <c r="A68" s="3">
        <v>67</v>
      </c>
      <c r="B68" s="1" t="s">
        <v>16</v>
      </c>
      <c r="C68" s="1" t="s">
        <v>82</v>
      </c>
      <c r="D68" s="2">
        <v>23.25</v>
      </c>
      <c r="E68" s="2">
        <v>23.25</v>
      </c>
      <c r="F68" s="2">
        <v>22.75</v>
      </c>
      <c r="G68" s="2">
        <v>24.25</v>
      </c>
      <c r="H68" s="5">
        <v>810</v>
      </c>
      <c r="I68" s="5">
        <v>1677</v>
      </c>
      <c r="J68" s="6">
        <v>2.0703703703703704</v>
      </c>
      <c r="K68" s="5">
        <v>810</v>
      </c>
      <c r="L68" s="5">
        <v>1238</v>
      </c>
      <c r="M68" s="6">
        <v>1.528395061728395</v>
      </c>
      <c r="N68" s="5">
        <v>945</v>
      </c>
      <c r="O68" s="5">
        <v>2004</v>
      </c>
      <c r="P68" s="6">
        <v>2.1206349206349207</v>
      </c>
      <c r="Q68" s="60">
        <f t="shared" si="2"/>
        <v>945</v>
      </c>
      <c r="R68" s="61">
        <f t="shared" si="3"/>
        <v>2184.36</v>
      </c>
      <c r="S68" s="62">
        <f t="shared" si="4"/>
        <v>2.3114920634920635</v>
      </c>
    </row>
    <row r="69" spans="1:19" ht="30">
      <c r="A69" s="3">
        <v>68</v>
      </c>
      <c r="B69" s="1" t="s">
        <v>16</v>
      </c>
      <c r="C69" s="1" t="s">
        <v>83</v>
      </c>
      <c r="D69" s="2">
        <v>24.25</v>
      </c>
      <c r="E69" s="2">
        <v>24.25</v>
      </c>
      <c r="F69" s="2">
        <v>23.5</v>
      </c>
      <c r="G69" s="2">
        <v>24.75</v>
      </c>
      <c r="H69" s="5">
        <v>405</v>
      </c>
      <c r="I69" s="5">
        <v>1139</v>
      </c>
      <c r="J69" s="6">
        <v>2.8123456790123456</v>
      </c>
      <c r="K69" s="5">
        <v>675</v>
      </c>
      <c r="L69" s="5">
        <v>1107</v>
      </c>
      <c r="M69" s="6">
        <v>1.64</v>
      </c>
      <c r="N69" s="5">
        <v>675</v>
      </c>
      <c r="O69" s="5">
        <v>1692</v>
      </c>
      <c r="P69" s="6">
        <v>2.5066666666666668</v>
      </c>
      <c r="Q69" s="60">
        <f t="shared" si="2"/>
        <v>675</v>
      </c>
      <c r="R69" s="61">
        <f t="shared" si="3"/>
        <v>1844.2800000000002</v>
      </c>
      <c r="S69" s="62">
        <f t="shared" si="4"/>
        <v>2.7322666666666668</v>
      </c>
    </row>
    <row r="70" spans="1:19" ht="30">
      <c r="A70" s="3">
        <v>69</v>
      </c>
      <c r="B70" s="1" t="s">
        <v>16</v>
      </c>
      <c r="C70" s="1" t="s">
        <v>84</v>
      </c>
      <c r="D70" s="2">
        <v>17</v>
      </c>
      <c r="E70" s="2">
        <v>17</v>
      </c>
      <c r="F70" s="2">
        <v>16.25</v>
      </c>
      <c r="G70" s="2">
        <v>18.75</v>
      </c>
      <c r="H70" s="5">
        <v>765</v>
      </c>
      <c r="I70" s="5">
        <v>953</v>
      </c>
      <c r="J70" s="6">
        <v>1.2457516339869281</v>
      </c>
      <c r="K70" s="5">
        <v>675</v>
      </c>
      <c r="L70" s="5">
        <v>684</v>
      </c>
      <c r="M70" s="6">
        <v>1.0133333333333334</v>
      </c>
      <c r="N70" s="5">
        <v>720</v>
      </c>
      <c r="O70" s="5">
        <v>875</v>
      </c>
      <c r="P70" s="6">
        <v>1.2152777777777777</v>
      </c>
      <c r="Q70" s="60">
        <f t="shared" si="2"/>
        <v>720</v>
      </c>
      <c r="R70" s="61">
        <f t="shared" si="3"/>
        <v>953.75000000000011</v>
      </c>
      <c r="S70" s="62">
        <f t="shared" si="4"/>
        <v>1.3246527777777779</v>
      </c>
    </row>
    <row r="71" spans="1:19" ht="30">
      <c r="A71" s="3">
        <v>70</v>
      </c>
      <c r="B71" s="1" t="s">
        <v>16</v>
      </c>
      <c r="C71" s="1" t="s">
        <v>85</v>
      </c>
      <c r="D71" s="2">
        <v>23.25</v>
      </c>
      <c r="E71" s="2">
        <v>23.25</v>
      </c>
      <c r="F71" s="2">
        <v>23.5</v>
      </c>
      <c r="G71" s="2">
        <v>24.25</v>
      </c>
      <c r="H71" s="5">
        <v>495</v>
      </c>
      <c r="I71" s="5">
        <v>1595</v>
      </c>
      <c r="J71" s="6">
        <v>3.2222222222222223</v>
      </c>
      <c r="K71" s="5">
        <v>585</v>
      </c>
      <c r="L71" s="5">
        <v>1399</v>
      </c>
      <c r="M71" s="6">
        <v>2.3914529914529914</v>
      </c>
      <c r="N71" s="5">
        <v>765</v>
      </c>
      <c r="O71" s="5">
        <v>1797</v>
      </c>
      <c r="P71" s="6">
        <v>2.3490196078431373</v>
      </c>
      <c r="Q71" s="60">
        <f t="shared" si="2"/>
        <v>765</v>
      </c>
      <c r="R71" s="61">
        <f t="shared" si="3"/>
        <v>1958.7300000000002</v>
      </c>
      <c r="S71" s="62">
        <f t="shared" si="4"/>
        <v>2.56043137254902</v>
      </c>
    </row>
    <row r="72" spans="1:19" ht="30">
      <c r="A72" s="3">
        <v>71</v>
      </c>
      <c r="B72" s="1" t="s">
        <v>16</v>
      </c>
      <c r="C72" s="1" t="s">
        <v>86</v>
      </c>
      <c r="D72" s="2">
        <v>20.5</v>
      </c>
      <c r="E72" s="2">
        <v>20.5</v>
      </c>
      <c r="F72" s="2">
        <v>21</v>
      </c>
      <c r="G72" s="2">
        <v>22.75</v>
      </c>
      <c r="H72" s="5">
        <v>945</v>
      </c>
      <c r="I72" s="5">
        <v>1777</v>
      </c>
      <c r="J72" s="6">
        <v>1.8804232804232803</v>
      </c>
      <c r="K72" s="5">
        <v>810</v>
      </c>
      <c r="L72" s="5">
        <v>1390</v>
      </c>
      <c r="M72" s="6">
        <v>1.7160493827160495</v>
      </c>
      <c r="N72" s="5">
        <v>900</v>
      </c>
      <c r="O72" s="5">
        <v>2312</v>
      </c>
      <c r="P72" s="6">
        <v>2.568888888888889</v>
      </c>
      <c r="Q72" s="60">
        <f t="shared" si="2"/>
        <v>900</v>
      </c>
      <c r="R72" s="61">
        <f t="shared" si="3"/>
        <v>2520.0800000000004</v>
      </c>
      <c r="S72" s="62">
        <f t="shared" si="4"/>
        <v>2.8000888888888893</v>
      </c>
    </row>
    <row r="73" spans="1:19" ht="30">
      <c r="A73" s="3">
        <v>72</v>
      </c>
      <c r="B73" s="1" t="s">
        <v>16</v>
      </c>
      <c r="C73" s="1" t="s">
        <v>87</v>
      </c>
      <c r="D73" s="2">
        <v>18</v>
      </c>
      <c r="E73" s="2">
        <v>18</v>
      </c>
      <c r="F73" s="2">
        <v>17.75</v>
      </c>
      <c r="G73" s="2">
        <v>20</v>
      </c>
      <c r="H73" s="5">
        <v>675</v>
      </c>
      <c r="I73" s="5">
        <v>930</v>
      </c>
      <c r="J73" s="6">
        <v>1.3777777777777778</v>
      </c>
      <c r="K73" s="5">
        <v>585</v>
      </c>
      <c r="L73" s="5">
        <v>761</v>
      </c>
      <c r="M73" s="6">
        <v>1.3008547008547009</v>
      </c>
      <c r="N73" s="5">
        <v>765</v>
      </c>
      <c r="O73" s="5">
        <v>1126</v>
      </c>
      <c r="P73" s="6">
        <v>1.4718954248366014</v>
      </c>
      <c r="Q73" s="60">
        <f t="shared" si="2"/>
        <v>765</v>
      </c>
      <c r="R73" s="61">
        <f t="shared" si="3"/>
        <v>1227.3400000000001</v>
      </c>
      <c r="S73" s="62">
        <f t="shared" si="4"/>
        <v>1.6043660130718955</v>
      </c>
    </row>
    <row r="74" spans="1:19" ht="30">
      <c r="A74" s="3">
        <v>73</v>
      </c>
      <c r="B74" s="1" t="s">
        <v>16</v>
      </c>
      <c r="C74" s="1" t="s">
        <v>88</v>
      </c>
      <c r="D74" s="2">
        <v>14</v>
      </c>
      <c r="E74" s="2">
        <v>14</v>
      </c>
      <c r="F74" s="2">
        <v>13.5</v>
      </c>
      <c r="G74" s="2">
        <v>16.75</v>
      </c>
      <c r="H74" s="5">
        <v>810</v>
      </c>
      <c r="I74" s="5">
        <v>854</v>
      </c>
      <c r="J74" s="6">
        <v>1.0543209876543209</v>
      </c>
      <c r="K74" s="5">
        <v>585</v>
      </c>
      <c r="L74" s="5">
        <v>681</v>
      </c>
      <c r="M74" s="6">
        <v>1.1641025641025642</v>
      </c>
      <c r="N74" s="5">
        <v>675</v>
      </c>
      <c r="O74" s="5">
        <v>997</v>
      </c>
      <c r="P74" s="6">
        <v>1.4770370370370369</v>
      </c>
      <c r="Q74" s="60">
        <f t="shared" si="2"/>
        <v>675</v>
      </c>
      <c r="R74" s="61">
        <f t="shared" si="3"/>
        <v>1086.73</v>
      </c>
      <c r="S74" s="62">
        <f t="shared" si="4"/>
        <v>1.6099703703703705</v>
      </c>
    </row>
    <row r="75" spans="1:19" ht="30">
      <c r="A75" s="3">
        <v>74</v>
      </c>
      <c r="B75" s="1" t="s">
        <v>16</v>
      </c>
      <c r="C75" s="1" t="s">
        <v>89</v>
      </c>
      <c r="D75" s="2">
        <v>13.5</v>
      </c>
      <c r="E75" s="2">
        <v>13.5</v>
      </c>
      <c r="F75" s="2">
        <v>11.75</v>
      </c>
      <c r="G75" s="2">
        <v>14.75</v>
      </c>
      <c r="H75" s="5">
        <v>765</v>
      </c>
      <c r="I75" s="5">
        <v>670</v>
      </c>
      <c r="J75" s="6">
        <v>0.87581699346405228</v>
      </c>
      <c r="K75" s="5">
        <v>675</v>
      </c>
      <c r="L75" s="5">
        <v>542</v>
      </c>
      <c r="M75" s="6">
        <v>0.80296296296296299</v>
      </c>
      <c r="N75" s="5">
        <v>855</v>
      </c>
      <c r="O75" s="5">
        <v>1049</v>
      </c>
      <c r="P75" s="6">
        <v>1.2269005847953216</v>
      </c>
      <c r="Q75" s="60">
        <f t="shared" si="2"/>
        <v>855</v>
      </c>
      <c r="R75" s="61">
        <f t="shared" si="3"/>
        <v>1143.4100000000001</v>
      </c>
      <c r="S75" s="62">
        <f t="shared" si="4"/>
        <v>1.3373216374269006</v>
      </c>
    </row>
    <row r="76" spans="1:19" ht="30">
      <c r="A76" s="3">
        <v>75</v>
      </c>
      <c r="B76" s="1" t="s">
        <v>16</v>
      </c>
      <c r="C76" s="1" t="s">
        <v>90</v>
      </c>
      <c r="D76" s="2">
        <v>15</v>
      </c>
      <c r="E76" s="2">
        <v>15</v>
      </c>
      <c r="F76" s="2">
        <v>12.5</v>
      </c>
      <c r="G76" s="2">
        <v>16.25</v>
      </c>
      <c r="H76" s="5">
        <v>945</v>
      </c>
      <c r="I76" s="5">
        <v>831</v>
      </c>
      <c r="J76" s="6">
        <v>0.87936507936507935</v>
      </c>
      <c r="K76" s="5">
        <v>810</v>
      </c>
      <c r="L76" s="5">
        <v>536</v>
      </c>
      <c r="M76" s="6">
        <v>0.66172839506172842</v>
      </c>
      <c r="N76" s="5">
        <v>990</v>
      </c>
      <c r="O76" s="5">
        <v>899</v>
      </c>
      <c r="P76" s="6">
        <v>0.90808080808080804</v>
      </c>
      <c r="Q76" s="60">
        <f t="shared" si="2"/>
        <v>990</v>
      </c>
      <c r="R76" s="61">
        <f t="shared" si="3"/>
        <v>979.91000000000008</v>
      </c>
      <c r="S76" s="62">
        <f t="shared" si="4"/>
        <v>0.98980808080808091</v>
      </c>
    </row>
    <row r="77" spans="1:19" ht="30">
      <c r="A77" s="3">
        <v>76</v>
      </c>
      <c r="B77" s="1" t="s">
        <v>16</v>
      </c>
      <c r="C77" s="1" t="s">
        <v>91</v>
      </c>
      <c r="D77" s="2">
        <v>14</v>
      </c>
      <c r="E77" s="2">
        <v>14</v>
      </c>
      <c r="F77" s="2">
        <v>12.25</v>
      </c>
      <c r="G77" s="2">
        <v>15.75</v>
      </c>
      <c r="H77" s="5">
        <v>765</v>
      </c>
      <c r="I77" s="5">
        <v>833</v>
      </c>
      <c r="J77" s="6">
        <v>1.0888888888888888</v>
      </c>
      <c r="K77" s="5">
        <v>720</v>
      </c>
      <c r="L77" s="5">
        <v>589</v>
      </c>
      <c r="M77" s="6">
        <v>0.81805555555555554</v>
      </c>
      <c r="N77" s="5">
        <v>900</v>
      </c>
      <c r="O77" s="5">
        <v>1059</v>
      </c>
      <c r="P77" s="6">
        <v>1.1766666666666667</v>
      </c>
      <c r="Q77" s="60">
        <f t="shared" si="2"/>
        <v>900</v>
      </c>
      <c r="R77" s="61">
        <f t="shared" si="3"/>
        <v>1154.3100000000002</v>
      </c>
      <c r="S77" s="62">
        <f t="shared" si="4"/>
        <v>1.2825666666666669</v>
      </c>
    </row>
    <row r="78" spans="1:19" ht="30">
      <c r="A78" s="3">
        <v>77</v>
      </c>
      <c r="B78" s="1" t="s">
        <v>16</v>
      </c>
      <c r="C78" s="1" t="s">
        <v>92</v>
      </c>
      <c r="D78" s="2">
        <v>13.5</v>
      </c>
      <c r="E78" s="2">
        <v>13.5</v>
      </c>
      <c r="F78" s="2">
        <v>10.75</v>
      </c>
      <c r="G78" s="2">
        <v>14.25</v>
      </c>
      <c r="H78" s="5">
        <v>765</v>
      </c>
      <c r="I78" s="5">
        <v>987</v>
      </c>
      <c r="J78" s="6">
        <v>1.2901960784313726</v>
      </c>
      <c r="K78" s="5">
        <v>810</v>
      </c>
      <c r="L78" s="5">
        <v>801</v>
      </c>
      <c r="M78" s="6">
        <v>0.98888888888888893</v>
      </c>
      <c r="N78" s="5">
        <v>900</v>
      </c>
      <c r="O78" s="5">
        <v>1085</v>
      </c>
      <c r="P78" s="6">
        <v>1.2055555555555555</v>
      </c>
      <c r="Q78" s="60">
        <f t="shared" si="2"/>
        <v>900</v>
      </c>
      <c r="R78" s="61">
        <f t="shared" si="3"/>
        <v>1182.6500000000001</v>
      </c>
      <c r="S78" s="62">
        <f t="shared" si="4"/>
        <v>1.3140555555555558</v>
      </c>
    </row>
    <row r="79" spans="1:19" ht="30">
      <c r="A79" s="3">
        <v>78</v>
      </c>
      <c r="B79" s="1" t="s">
        <v>16</v>
      </c>
      <c r="C79" s="1" t="s">
        <v>93</v>
      </c>
      <c r="D79" s="2">
        <v>14</v>
      </c>
      <c r="E79" s="2">
        <v>14</v>
      </c>
      <c r="F79" s="2">
        <v>10.5</v>
      </c>
      <c r="G79" s="2">
        <v>12.75</v>
      </c>
      <c r="H79" s="5">
        <v>720</v>
      </c>
      <c r="I79" s="5">
        <v>974</v>
      </c>
      <c r="J79" s="6">
        <v>1.3527777777777779</v>
      </c>
      <c r="K79" s="5">
        <v>765</v>
      </c>
      <c r="L79" s="5">
        <v>632</v>
      </c>
      <c r="M79" s="6">
        <v>0.82614379084967315</v>
      </c>
      <c r="N79" s="5">
        <v>855</v>
      </c>
      <c r="O79" s="5">
        <v>711</v>
      </c>
      <c r="P79" s="6">
        <v>0.83157894736842108</v>
      </c>
      <c r="Q79" s="60">
        <f t="shared" si="2"/>
        <v>855</v>
      </c>
      <c r="R79" s="61">
        <f t="shared" si="3"/>
        <v>774.99</v>
      </c>
      <c r="S79" s="62">
        <f t="shared" si="4"/>
        <v>0.90642105263157891</v>
      </c>
    </row>
    <row r="80" spans="1:19" ht="30">
      <c r="A80" s="3">
        <v>79</v>
      </c>
      <c r="B80" s="1" t="s">
        <v>16</v>
      </c>
      <c r="C80" s="1" t="s">
        <v>94</v>
      </c>
      <c r="D80" s="2">
        <v>15.75</v>
      </c>
      <c r="E80" s="2">
        <v>15.75</v>
      </c>
      <c r="F80" s="2">
        <v>13.75</v>
      </c>
      <c r="G80" s="2">
        <v>16.25</v>
      </c>
      <c r="H80" s="5">
        <v>630</v>
      </c>
      <c r="I80" s="5">
        <v>1068</v>
      </c>
      <c r="J80" s="6">
        <v>1.6952380952380952</v>
      </c>
      <c r="K80" s="5">
        <v>765</v>
      </c>
      <c r="L80" s="5">
        <v>790</v>
      </c>
      <c r="M80" s="6">
        <v>1.0326797385620916</v>
      </c>
      <c r="N80" s="5">
        <v>900</v>
      </c>
      <c r="O80" s="5">
        <v>1316</v>
      </c>
      <c r="P80" s="6">
        <v>1.4622222222222223</v>
      </c>
      <c r="Q80" s="60">
        <f t="shared" si="2"/>
        <v>900</v>
      </c>
      <c r="R80" s="61">
        <f t="shared" si="3"/>
        <v>1434.44</v>
      </c>
      <c r="S80" s="62">
        <f t="shared" si="4"/>
        <v>1.5938222222222223</v>
      </c>
    </row>
    <row r="81" spans="1:19" ht="30">
      <c r="A81" s="3">
        <v>80</v>
      </c>
      <c r="B81" s="1" t="s">
        <v>16</v>
      </c>
      <c r="C81" s="1" t="s">
        <v>95</v>
      </c>
      <c r="D81" s="2">
        <v>14</v>
      </c>
      <c r="E81" s="2">
        <v>14</v>
      </c>
      <c r="F81" s="2">
        <v>12</v>
      </c>
      <c r="G81" s="2">
        <v>13.5</v>
      </c>
      <c r="H81" s="5">
        <v>510</v>
      </c>
      <c r="I81" s="5">
        <v>330</v>
      </c>
      <c r="J81" s="6">
        <v>0.6470588235294118</v>
      </c>
      <c r="K81" s="5">
        <v>360</v>
      </c>
      <c r="L81" s="5">
        <v>284</v>
      </c>
      <c r="M81" s="6">
        <v>0.78888888888888886</v>
      </c>
      <c r="N81" s="5">
        <v>450</v>
      </c>
      <c r="O81" s="5">
        <v>307</v>
      </c>
      <c r="P81" s="6">
        <v>0.68222222222222217</v>
      </c>
      <c r="Q81" s="60">
        <f t="shared" si="2"/>
        <v>450</v>
      </c>
      <c r="R81" s="61">
        <f t="shared" si="3"/>
        <v>334.63000000000005</v>
      </c>
      <c r="S81" s="62">
        <f t="shared" si="4"/>
        <v>0.7436222222222223</v>
      </c>
    </row>
    <row r="82" spans="1:19" ht="30">
      <c r="A82" s="3">
        <v>81</v>
      </c>
      <c r="B82" s="1" t="s">
        <v>16</v>
      </c>
      <c r="C82" s="1" t="s">
        <v>96</v>
      </c>
      <c r="D82" s="2">
        <v>12.5</v>
      </c>
      <c r="E82" s="2">
        <v>12.5</v>
      </c>
      <c r="F82" s="2">
        <v>10.5</v>
      </c>
      <c r="G82" s="2">
        <v>10.75</v>
      </c>
      <c r="H82" s="5">
        <v>765</v>
      </c>
      <c r="I82" s="5">
        <v>296</v>
      </c>
      <c r="J82" s="6">
        <v>0.38692810457516341</v>
      </c>
      <c r="K82" s="5">
        <v>675</v>
      </c>
      <c r="L82" s="5">
        <v>251</v>
      </c>
      <c r="M82" s="6">
        <v>0.37185185185185188</v>
      </c>
      <c r="N82" s="5">
        <v>855</v>
      </c>
      <c r="O82" s="5">
        <v>298</v>
      </c>
      <c r="P82" s="6">
        <v>0.34853801169590642</v>
      </c>
      <c r="Q82" s="60">
        <f t="shared" si="2"/>
        <v>855</v>
      </c>
      <c r="R82" s="61">
        <f t="shared" si="3"/>
        <v>324.82000000000005</v>
      </c>
      <c r="S82" s="62">
        <f t="shared" si="4"/>
        <v>0.37990643274853808</v>
      </c>
    </row>
    <row r="83" spans="1:19" ht="30">
      <c r="A83" s="3">
        <v>82</v>
      </c>
      <c r="B83" s="1" t="s">
        <v>16</v>
      </c>
      <c r="C83" s="1" t="s">
        <v>97</v>
      </c>
      <c r="D83" s="2">
        <v>15</v>
      </c>
      <c r="E83" s="2">
        <v>15</v>
      </c>
      <c r="F83" s="2">
        <v>12.75</v>
      </c>
      <c r="G83" s="2">
        <v>14.25</v>
      </c>
      <c r="H83" s="5">
        <v>675</v>
      </c>
      <c r="I83" s="5">
        <v>1047</v>
      </c>
      <c r="J83" s="6">
        <v>1.5511111111111111</v>
      </c>
      <c r="K83" s="5">
        <v>630</v>
      </c>
      <c r="L83" s="5">
        <v>690</v>
      </c>
      <c r="M83" s="6">
        <v>1.0952380952380953</v>
      </c>
      <c r="N83" s="5">
        <v>900</v>
      </c>
      <c r="O83" s="5">
        <v>939</v>
      </c>
      <c r="P83" s="6">
        <v>1.0433333333333332</v>
      </c>
      <c r="Q83" s="60">
        <f t="shared" si="2"/>
        <v>900</v>
      </c>
      <c r="R83" s="61">
        <f t="shared" si="3"/>
        <v>1023.5100000000001</v>
      </c>
      <c r="S83" s="62">
        <f t="shared" si="4"/>
        <v>1.1372333333333335</v>
      </c>
    </row>
    <row r="84" spans="1:19" ht="30">
      <c r="A84" s="3">
        <v>83</v>
      </c>
      <c r="B84" s="1" t="s">
        <v>16</v>
      </c>
      <c r="C84" s="1" t="s">
        <v>98</v>
      </c>
      <c r="D84" s="2">
        <v>11.5</v>
      </c>
      <c r="E84" s="2">
        <v>11.5</v>
      </c>
      <c r="F84" s="2">
        <v>10.5</v>
      </c>
      <c r="G84" s="2">
        <v>10.5</v>
      </c>
      <c r="H84" s="5">
        <v>765</v>
      </c>
      <c r="I84" s="5">
        <v>397</v>
      </c>
      <c r="J84" s="6">
        <v>0.51895424836601312</v>
      </c>
      <c r="K84" s="5">
        <v>495</v>
      </c>
      <c r="L84" s="5">
        <v>341</v>
      </c>
      <c r="M84" s="6">
        <v>0.68888888888888888</v>
      </c>
      <c r="N84" s="5">
        <v>720</v>
      </c>
      <c r="O84" s="5">
        <v>391</v>
      </c>
      <c r="P84" s="6">
        <v>0.54305555555555551</v>
      </c>
      <c r="Q84" s="60">
        <f t="shared" si="2"/>
        <v>720</v>
      </c>
      <c r="R84" s="61">
        <f t="shared" si="3"/>
        <v>426.19000000000005</v>
      </c>
      <c r="S84" s="62">
        <f t="shared" si="4"/>
        <v>0.59193055555555563</v>
      </c>
    </row>
    <row r="85" spans="1:19" ht="30">
      <c r="A85" s="3">
        <v>84</v>
      </c>
      <c r="B85" s="1" t="s">
        <v>16</v>
      </c>
      <c r="C85" s="1" t="s">
        <v>99</v>
      </c>
      <c r="D85" s="2">
        <v>10.5</v>
      </c>
      <c r="E85" s="2">
        <v>10.5</v>
      </c>
      <c r="F85" s="2">
        <v>10.5</v>
      </c>
      <c r="G85" s="2">
        <v>10</v>
      </c>
      <c r="H85" s="5">
        <v>360</v>
      </c>
      <c r="I85" s="5">
        <v>295</v>
      </c>
      <c r="J85" s="6">
        <v>0.81944444444444442</v>
      </c>
      <c r="K85" s="5">
        <v>360</v>
      </c>
      <c r="L85" s="5">
        <v>238</v>
      </c>
      <c r="M85" s="6">
        <v>0.66111111111111109</v>
      </c>
      <c r="N85" s="5">
        <v>405</v>
      </c>
      <c r="O85" s="5">
        <v>308</v>
      </c>
      <c r="P85" s="6">
        <v>0.76049382716049385</v>
      </c>
      <c r="Q85" s="60">
        <f t="shared" si="2"/>
        <v>405</v>
      </c>
      <c r="R85" s="61">
        <f t="shared" si="3"/>
        <v>335.72</v>
      </c>
      <c r="S85" s="62">
        <f t="shared" si="4"/>
        <v>0.82893827160493838</v>
      </c>
    </row>
    <row r="86" spans="1:19" ht="30">
      <c r="A86" s="3">
        <v>85</v>
      </c>
      <c r="B86" s="1" t="s">
        <v>16</v>
      </c>
      <c r="C86" s="1" t="s">
        <v>100</v>
      </c>
      <c r="D86" s="2">
        <v>10.5</v>
      </c>
      <c r="E86" s="2">
        <v>10.5</v>
      </c>
      <c r="F86" s="2">
        <v>10.5</v>
      </c>
      <c r="G86" s="2">
        <v>9</v>
      </c>
      <c r="H86" s="5">
        <v>320</v>
      </c>
      <c r="I86" s="5">
        <v>294</v>
      </c>
      <c r="J86" s="6">
        <v>0.91874999999999996</v>
      </c>
      <c r="K86" s="5">
        <v>320</v>
      </c>
      <c r="L86" s="5">
        <v>238</v>
      </c>
      <c r="M86" s="6">
        <v>0.74375000000000002</v>
      </c>
      <c r="N86" s="5">
        <v>320</v>
      </c>
      <c r="O86" s="5">
        <v>289</v>
      </c>
      <c r="P86" s="6">
        <v>0.90312499999999996</v>
      </c>
      <c r="Q86" s="60">
        <f t="shared" si="2"/>
        <v>320</v>
      </c>
      <c r="R86" s="61">
        <f t="shared" si="3"/>
        <v>315.01000000000005</v>
      </c>
      <c r="S86" s="62">
        <f t="shared" si="4"/>
        <v>0.98440625000000015</v>
      </c>
    </row>
    <row r="87" spans="1:19" ht="30">
      <c r="A87" s="3">
        <v>86</v>
      </c>
      <c r="B87" s="1" t="s">
        <v>16</v>
      </c>
      <c r="C87" s="1" t="s">
        <v>101</v>
      </c>
      <c r="D87" s="2">
        <v>10.5</v>
      </c>
      <c r="E87" s="2">
        <v>10.5</v>
      </c>
      <c r="F87" s="2">
        <v>10.5</v>
      </c>
      <c r="G87" s="2">
        <v>10</v>
      </c>
      <c r="H87" s="5">
        <v>460</v>
      </c>
      <c r="I87" s="5">
        <v>426</v>
      </c>
      <c r="J87" s="6">
        <v>0.92608695652173911</v>
      </c>
      <c r="K87" s="5">
        <v>315</v>
      </c>
      <c r="L87" s="5">
        <v>273</v>
      </c>
      <c r="M87" s="6">
        <v>0.8666666666666667</v>
      </c>
      <c r="N87" s="5">
        <v>360</v>
      </c>
      <c r="O87" s="5">
        <v>359</v>
      </c>
      <c r="P87" s="6">
        <v>0.99722222222222223</v>
      </c>
      <c r="Q87" s="60">
        <f t="shared" si="2"/>
        <v>360</v>
      </c>
      <c r="R87" s="61">
        <f t="shared" si="3"/>
        <v>391.31</v>
      </c>
      <c r="S87" s="62">
        <f t="shared" si="4"/>
        <v>1.0869722222222222</v>
      </c>
    </row>
    <row r="88" spans="1:19" ht="30">
      <c r="A88" s="3">
        <v>87</v>
      </c>
      <c r="B88" s="1" t="s">
        <v>16</v>
      </c>
      <c r="C88" s="1" t="s">
        <v>102</v>
      </c>
      <c r="D88" s="2">
        <v>16.25</v>
      </c>
      <c r="E88" s="2">
        <v>16.25</v>
      </c>
      <c r="F88" s="2">
        <v>12.25</v>
      </c>
      <c r="G88" s="2">
        <v>16</v>
      </c>
      <c r="H88" s="5">
        <v>720</v>
      </c>
      <c r="I88" s="5">
        <v>1076</v>
      </c>
      <c r="J88" s="6">
        <v>1.4944444444444445</v>
      </c>
      <c r="K88" s="5">
        <v>720</v>
      </c>
      <c r="L88" s="5">
        <v>736</v>
      </c>
      <c r="M88" s="6">
        <v>1.0222222222222221</v>
      </c>
      <c r="N88" s="5">
        <v>810</v>
      </c>
      <c r="O88" s="5">
        <v>1187</v>
      </c>
      <c r="P88" s="6">
        <v>1.4654320987654321</v>
      </c>
      <c r="Q88" s="60">
        <f t="shared" si="2"/>
        <v>810</v>
      </c>
      <c r="R88" s="61">
        <f t="shared" si="3"/>
        <v>1293.8300000000002</v>
      </c>
      <c r="S88" s="62">
        <f t="shared" si="4"/>
        <v>1.5973209876543213</v>
      </c>
    </row>
    <row r="89" spans="1:19" ht="30">
      <c r="A89" s="3">
        <v>88</v>
      </c>
      <c r="B89" s="1" t="s">
        <v>16</v>
      </c>
      <c r="C89" s="1" t="s">
        <v>103</v>
      </c>
      <c r="D89" s="2">
        <v>13</v>
      </c>
      <c r="E89" s="2">
        <v>13</v>
      </c>
      <c r="F89" s="2">
        <v>11.5</v>
      </c>
      <c r="G89" s="2">
        <v>12.25</v>
      </c>
      <c r="H89" s="5">
        <v>630</v>
      </c>
      <c r="I89" s="5">
        <v>619</v>
      </c>
      <c r="J89" s="6">
        <v>0.98253968253968249</v>
      </c>
      <c r="K89" s="5">
        <v>540</v>
      </c>
      <c r="L89" s="5">
        <v>529</v>
      </c>
      <c r="M89" s="6">
        <v>0.97962962962962963</v>
      </c>
      <c r="N89" s="5">
        <v>810</v>
      </c>
      <c r="O89" s="5">
        <v>678</v>
      </c>
      <c r="P89" s="6">
        <v>0.83703703703703702</v>
      </c>
      <c r="Q89" s="60">
        <f t="shared" si="2"/>
        <v>810</v>
      </c>
      <c r="R89" s="61">
        <f t="shared" si="3"/>
        <v>739.0200000000001</v>
      </c>
      <c r="S89" s="62">
        <f t="shared" si="4"/>
        <v>0.9123703703703705</v>
      </c>
    </row>
    <row r="90" spans="1:19" ht="30">
      <c r="A90" s="3">
        <v>89</v>
      </c>
      <c r="B90" s="1" t="s">
        <v>16</v>
      </c>
      <c r="C90" s="1" t="s">
        <v>104</v>
      </c>
      <c r="D90" s="2">
        <v>11.5</v>
      </c>
      <c r="E90" s="2">
        <v>11.5</v>
      </c>
      <c r="F90" s="2">
        <v>10.5</v>
      </c>
      <c r="G90" s="2">
        <v>11.5</v>
      </c>
      <c r="H90" s="5">
        <v>810</v>
      </c>
      <c r="I90" s="5">
        <v>587</v>
      </c>
      <c r="J90" s="6">
        <v>0.72469135802469131</v>
      </c>
      <c r="K90" s="5">
        <v>810</v>
      </c>
      <c r="L90" s="5">
        <v>500</v>
      </c>
      <c r="M90" s="6">
        <v>0.61728395061728392</v>
      </c>
      <c r="N90" s="5">
        <v>810</v>
      </c>
      <c r="O90" s="5">
        <v>594</v>
      </c>
      <c r="P90" s="6">
        <v>0.73333333333333328</v>
      </c>
      <c r="Q90" s="60">
        <f t="shared" si="2"/>
        <v>810</v>
      </c>
      <c r="R90" s="61">
        <f t="shared" si="3"/>
        <v>647.46</v>
      </c>
      <c r="S90" s="62">
        <f t="shared" si="4"/>
        <v>0.79933333333333334</v>
      </c>
    </row>
    <row r="91" spans="1:19" ht="30">
      <c r="A91" s="3">
        <v>90</v>
      </c>
      <c r="B91" s="1" t="s">
        <v>16</v>
      </c>
      <c r="C91" s="1" t="s">
        <v>105</v>
      </c>
      <c r="D91" s="2">
        <v>15.5</v>
      </c>
      <c r="E91" s="2">
        <v>15.5</v>
      </c>
      <c r="F91" s="2">
        <v>14.25</v>
      </c>
      <c r="G91" s="2">
        <v>16.25</v>
      </c>
      <c r="H91" s="5">
        <v>675</v>
      </c>
      <c r="I91" s="5">
        <v>1119</v>
      </c>
      <c r="J91" s="6">
        <v>1.6577777777777778</v>
      </c>
      <c r="K91" s="5">
        <v>675</v>
      </c>
      <c r="L91" s="5">
        <v>887</v>
      </c>
      <c r="M91" s="6">
        <v>1.3140740740740742</v>
      </c>
      <c r="N91" s="5">
        <v>765</v>
      </c>
      <c r="O91" s="5">
        <v>1288</v>
      </c>
      <c r="P91" s="6">
        <v>1.6836601307189543</v>
      </c>
      <c r="Q91" s="60">
        <f t="shared" si="2"/>
        <v>765</v>
      </c>
      <c r="R91" s="61">
        <f t="shared" si="3"/>
        <v>1403.92</v>
      </c>
      <c r="S91" s="62">
        <f t="shared" si="4"/>
        <v>1.8351895424836602</v>
      </c>
    </row>
    <row r="92" spans="1:19" ht="30">
      <c r="A92" s="3">
        <v>91</v>
      </c>
      <c r="B92" s="1" t="s">
        <v>16</v>
      </c>
      <c r="C92" s="1" t="s">
        <v>106</v>
      </c>
      <c r="D92" s="2">
        <v>11.75</v>
      </c>
      <c r="E92" s="2">
        <v>11.75</v>
      </c>
      <c r="F92" s="2">
        <v>10.5</v>
      </c>
      <c r="G92" s="2">
        <v>10.5</v>
      </c>
      <c r="H92" s="5">
        <v>540</v>
      </c>
      <c r="I92" s="5">
        <v>272</v>
      </c>
      <c r="J92" s="6">
        <v>0.50370370370370365</v>
      </c>
      <c r="K92" s="5">
        <v>585</v>
      </c>
      <c r="L92" s="5">
        <v>254</v>
      </c>
      <c r="M92" s="6">
        <v>0.4341880341880342</v>
      </c>
      <c r="N92" s="5">
        <v>585</v>
      </c>
      <c r="O92" s="5">
        <v>316</v>
      </c>
      <c r="P92" s="6">
        <v>0.54017094017094014</v>
      </c>
      <c r="Q92" s="60">
        <f t="shared" si="2"/>
        <v>585</v>
      </c>
      <c r="R92" s="61">
        <f t="shared" si="3"/>
        <v>344.44</v>
      </c>
      <c r="S92" s="62">
        <f t="shared" si="4"/>
        <v>0.58878632478632476</v>
      </c>
    </row>
    <row r="93" spans="1:19" ht="30">
      <c r="A93" s="3">
        <v>92</v>
      </c>
      <c r="B93" s="1" t="s">
        <v>16</v>
      </c>
      <c r="C93" s="1" t="s">
        <v>107</v>
      </c>
      <c r="D93" s="2">
        <v>13.5</v>
      </c>
      <c r="E93" s="2">
        <v>13.5</v>
      </c>
      <c r="F93" s="2">
        <v>11.75</v>
      </c>
      <c r="G93" s="2">
        <v>13.5</v>
      </c>
      <c r="H93" s="5">
        <v>585</v>
      </c>
      <c r="I93" s="5">
        <v>822</v>
      </c>
      <c r="J93" s="6">
        <v>1.405128205128205</v>
      </c>
      <c r="K93" s="5">
        <v>630</v>
      </c>
      <c r="L93" s="5">
        <v>694</v>
      </c>
      <c r="M93" s="6">
        <v>1.1015873015873017</v>
      </c>
      <c r="N93" s="5">
        <v>720</v>
      </c>
      <c r="O93" s="5">
        <v>849</v>
      </c>
      <c r="P93" s="6">
        <v>1.1791666666666667</v>
      </c>
      <c r="Q93" s="60">
        <f t="shared" si="2"/>
        <v>720</v>
      </c>
      <c r="R93" s="61">
        <f t="shared" si="3"/>
        <v>925.41000000000008</v>
      </c>
      <c r="S93" s="62">
        <f t="shared" si="4"/>
        <v>1.2852916666666667</v>
      </c>
    </row>
    <row r="94" spans="1:19" ht="30">
      <c r="A94" s="3">
        <v>93</v>
      </c>
      <c r="B94" s="1" t="s">
        <v>16</v>
      </c>
      <c r="C94" s="1" t="s">
        <v>108</v>
      </c>
      <c r="D94" s="2">
        <v>14.75</v>
      </c>
      <c r="E94" s="2">
        <v>14.75</v>
      </c>
      <c r="F94" s="2">
        <v>14</v>
      </c>
      <c r="G94" s="2">
        <v>14.75</v>
      </c>
      <c r="H94" s="5">
        <v>585</v>
      </c>
      <c r="I94" s="5">
        <v>1102</v>
      </c>
      <c r="J94" s="6">
        <v>1.8837606837606837</v>
      </c>
      <c r="K94" s="5">
        <v>585</v>
      </c>
      <c r="L94" s="5">
        <v>907</v>
      </c>
      <c r="M94" s="6">
        <v>1.5504273504273505</v>
      </c>
      <c r="N94" s="5">
        <v>720</v>
      </c>
      <c r="O94" s="5">
        <v>1144</v>
      </c>
      <c r="P94" s="6">
        <v>1.5888888888888888</v>
      </c>
      <c r="Q94" s="60">
        <f t="shared" si="2"/>
        <v>720</v>
      </c>
      <c r="R94" s="61">
        <f t="shared" si="3"/>
        <v>1246.96</v>
      </c>
      <c r="S94" s="62">
        <f t="shared" si="4"/>
        <v>1.731888888888889</v>
      </c>
    </row>
    <row r="95" spans="1:19" ht="30">
      <c r="A95" s="3">
        <v>94</v>
      </c>
      <c r="B95" s="1" t="s">
        <v>16</v>
      </c>
      <c r="C95" s="1" t="s">
        <v>109</v>
      </c>
      <c r="D95" s="2">
        <v>22.5</v>
      </c>
      <c r="E95" s="2">
        <v>22.5</v>
      </c>
      <c r="F95" s="2">
        <v>23</v>
      </c>
      <c r="G95" s="2">
        <v>24</v>
      </c>
      <c r="H95" s="5">
        <v>665</v>
      </c>
      <c r="I95" s="5">
        <v>1191</v>
      </c>
      <c r="J95" s="6">
        <v>1.7909774436090224</v>
      </c>
      <c r="K95" s="5">
        <v>630</v>
      </c>
      <c r="L95" s="5">
        <v>1092</v>
      </c>
      <c r="M95" s="6">
        <v>1.7333333333333334</v>
      </c>
      <c r="N95" s="5">
        <v>765</v>
      </c>
      <c r="O95" s="5">
        <v>1463</v>
      </c>
      <c r="P95" s="6">
        <v>1.9124183006535949</v>
      </c>
      <c r="Q95" s="60">
        <f t="shared" si="2"/>
        <v>765</v>
      </c>
      <c r="R95" s="61">
        <f t="shared" si="3"/>
        <v>1594.67</v>
      </c>
      <c r="S95" s="62">
        <f t="shared" si="4"/>
        <v>2.0845359477124186</v>
      </c>
    </row>
    <row r="96" spans="1:19" ht="30">
      <c r="A96" s="3">
        <v>95</v>
      </c>
      <c r="B96" s="1" t="s">
        <v>16</v>
      </c>
      <c r="C96" s="1" t="s">
        <v>110</v>
      </c>
      <c r="D96" s="2">
        <v>19.75</v>
      </c>
      <c r="E96" s="2">
        <v>19.75</v>
      </c>
      <c r="F96" s="2">
        <v>20.25</v>
      </c>
      <c r="G96" s="2">
        <v>20.75</v>
      </c>
      <c r="H96" s="5">
        <v>540</v>
      </c>
      <c r="I96" s="5">
        <v>995</v>
      </c>
      <c r="J96" s="6">
        <v>1.8425925925925926</v>
      </c>
      <c r="K96" s="5">
        <v>495</v>
      </c>
      <c r="L96" s="5">
        <v>748</v>
      </c>
      <c r="M96" s="6">
        <v>1.5111111111111111</v>
      </c>
      <c r="N96" s="5">
        <v>765</v>
      </c>
      <c r="O96" s="5">
        <v>1063</v>
      </c>
      <c r="P96" s="6">
        <v>1.3895424836601307</v>
      </c>
      <c r="Q96" s="60">
        <f t="shared" si="2"/>
        <v>765</v>
      </c>
      <c r="R96" s="61">
        <f t="shared" si="3"/>
        <v>1158.67</v>
      </c>
      <c r="S96" s="62">
        <f t="shared" si="4"/>
        <v>1.5146013071895426</v>
      </c>
    </row>
    <row r="97" spans="1:19" ht="30">
      <c r="A97" s="3">
        <v>96</v>
      </c>
      <c r="B97" s="1" t="s">
        <v>16</v>
      </c>
      <c r="C97" s="1" t="s">
        <v>111</v>
      </c>
      <c r="D97" s="2">
        <v>18.5</v>
      </c>
      <c r="E97" s="2">
        <v>18.5</v>
      </c>
      <c r="F97" s="2">
        <v>19</v>
      </c>
      <c r="G97" s="2">
        <v>20.5</v>
      </c>
      <c r="H97" s="5">
        <v>675</v>
      </c>
      <c r="I97" s="5">
        <v>1032</v>
      </c>
      <c r="J97" s="6">
        <v>1.528888888888889</v>
      </c>
      <c r="K97" s="5">
        <v>630</v>
      </c>
      <c r="L97" s="5">
        <v>864</v>
      </c>
      <c r="M97" s="6">
        <v>1.3714285714285714</v>
      </c>
      <c r="N97" s="5">
        <v>810</v>
      </c>
      <c r="O97" s="5">
        <v>1345</v>
      </c>
      <c r="P97" s="6">
        <v>1.6604938271604939</v>
      </c>
      <c r="Q97" s="60">
        <f t="shared" si="2"/>
        <v>810</v>
      </c>
      <c r="R97" s="61">
        <f t="shared" si="3"/>
        <v>1466.0500000000002</v>
      </c>
      <c r="S97" s="62">
        <f t="shared" si="4"/>
        <v>1.8099382716049386</v>
      </c>
    </row>
    <row r="98" spans="1:19" ht="30">
      <c r="A98" s="3">
        <v>97</v>
      </c>
      <c r="B98" s="1" t="s">
        <v>16</v>
      </c>
      <c r="C98" s="1" t="s">
        <v>112</v>
      </c>
      <c r="D98" s="2">
        <v>16.5</v>
      </c>
      <c r="E98" s="2">
        <v>16.5</v>
      </c>
      <c r="F98" s="2">
        <v>14.75</v>
      </c>
      <c r="G98" s="2">
        <v>15.5</v>
      </c>
      <c r="H98" s="5">
        <v>585</v>
      </c>
      <c r="I98" s="5">
        <v>981</v>
      </c>
      <c r="J98" s="6">
        <v>1.676923076923077</v>
      </c>
      <c r="K98" s="5">
        <v>630</v>
      </c>
      <c r="L98" s="5">
        <v>576</v>
      </c>
      <c r="M98" s="6">
        <v>0.91428571428571426</v>
      </c>
      <c r="N98" s="5">
        <v>675</v>
      </c>
      <c r="O98" s="5">
        <v>858</v>
      </c>
      <c r="P98" s="6">
        <v>1.2711111111111111</v>
      </c>
      <c r="Q98" s="60">
        <f t="shared" si="2"/>
        <v>675</v>
      </c>
      <c r="R98" s="61">
        <f t="shared" si="3"/>
        <v>935.22</v>
      </c>
      <c r="S98" s="62">
        <f t="shared" si="4"/>
        <v>1.3855111111111111</v>
      </c>
    </row>
    <row r="99" spans="1:19" ht="30">
      <c r="A99" s="3">
        <v>98</v>
      </c>
      <c r="B99" s="1" t="s">
        <v>16</v>
      </c>
      <c r="C99" s="1" t="s">
        <v>113</v>
      </c>
      <c r="D99" s="2">
        <v>18</v>
      </c>
      <c r="E99" s="2">
        <v>18</v>
      </c>
      <c r="F99" s="2">
        <v>17.5</v>
      </c>
      <c r="G99" s="2">
        <v>19</v>
      </c>
      <c r="H99" s="5">
        <v>495</v>
      </c>
      <c r="I99" s="5">
        <v>1168</v>
      </c>
      <c r="J99" s="6">
        <v>2.3595959595959597</v>
      </c>
      <c r="K99" s="5">
        <v>585</v>
      </c>
      <c r="L99" s="5">
        <v>955</v>
      </c>
      <c r="M99" s="6">
        <v>1.6324786324786325</v>
      </c>
      <c r="N99" s="5">
        <v>675</v>
      </c>
      <c r="O99" s="5">
        <v>1328</v>
      </c>
      <c r="P99" s="6">
        <v>1.9674074074074075</v>
      </c>
      <c r="Q99" s="60">
        <f t="shared" si="2"/>
        <v>675</v>
      </c>
      <c r="R99" s="61">
        <f t="shared" si="3"/>
        <v>1447.5200000000002</v>
      </c>
      <c r="S99" s="62">
        <f t="shared" si="4"/>
        <v>2.1444740740740742</v>
      </c>
    </row>
    <row r="100" spans="1:19" ht="30">
      <c r="A100" s="3">
        <v>99</v>
      </c>
      <c r="B100" s="1" t="s">
        <v>16</v>
      </c>
      <c r="C100" s="1" t="s">
        <v>114</v>
      </c>
      <c r="D100" s="2">
        <v>16.75</v>
      </c>
      <c r="E100" s="2">
        <v>16.75</v>
      </c>
      <c r="F100" s="2">
        <v>16.25</v>
      </c>
      <c r="G100" s="2">
        <v>17.5</v>
      </c>
      <c r="H100" s="5">
        <v>675</v>
      </c>
      <c r="I100" s="5">
        <v>1757</v>
      </c>
      <c r="J100" s="6">
        <v>2.6029629629629629</v>
      </c>
      <c r="K100" s="5">
        <v>675</v>
      </c>
      <c r="L100" s="5">
        <v>1423</v>
      </c>
      <c r="M100" s="6">
        <v>2.1081481481481483</v>
      </c>
      <c r="N100" s="5">
        <v>810</v>
      </c>
      <c r="O100" s="5">
        <v>1757</v>
      </c>
      <c r="P100" s="6">
        <v>2.1691358024691358</v>
      </c>
      <c r="Q100" s="60">
        <f t="shared" si="2"/>
        <v>810</v>
      </c>
      <c r="R100" s="61">
        <f t="shared" si="3"/>
        <v>1915.13</v>
      </c>
      <c r="S100" s="62">
        <f t="shared" si="4"/>
        <v>2.364358024691358</v>
      </c>
    </row>
    <row r="101" spans="1:19" ht="30">
      <c r="A101" s="3">
        <v>100</v>
      </c>
      <c r="B101" s="1" t="s">
        <v>16</v>
      </c>
      <c r="C101" s="1" t="s">
        <v>115</v>
      </c>
      <c r="D101" s="2">
        <v>17.5</v>
      </c>
      <c r="E101" s="2">
        <v>17.5</v>
      </c>
      <c r="F101" s="2">
        <v>17</v>
      </c>
      <c r="G101" s="2">
        <v>17.25</v>
      </c>
      <c r="H101" s="5">
        <v>495</v>
      </c>
      <c r="I101" s="5">
        <v>1515</v>
      </c>
      <c r="J101" s="6">
        <v>3.0606060606060606</v>
      </c>
      <c r="K101" s="5">
        <v>540</v>
      </c>
      <c r="L101" s="5">
        <v>894</v>
      </c>
      <c r="M101" s="6">
        <v>1.6555555555555554</v>
      </c>
      <c r="N101" s="5">
        <v>855</v>
      </c>
      <c r="O101" s="5">
        <v>1286</v>
      </c>
      <c r="P101" s="6">
        <v>1.5040935672514619</v>
      </c>
      <c r="Q101" s="60">
        <f t="shared" si="2"/>
        <v>855</v>
      </c>
      <c r="R101" s="61">
        <f t="shared" si="3"/>
        <v>1401.74</v>
      </c>
      <c r="S101" s="62">
        <f t="shared" si="4"/>
        <v>1.6394619883040935</v>
      </c>
    </row>
    <row r="102" spans="1:19" ht="30">
      <c r="A102" s="3">
        <v>101</v>
      </c>
      <c r="B102" s="1" t="s">
        <v>16</v>
      </c>
      <c r="C102" s="1" t="s">
        <v>116</v>
      </c>
      <c r="D102" s="2">
        <v>12.25</v>
      </c>
      <c r="E102" s="2">
        <v>12.25</v>
      </c>
      <c r="F102" s="2">
        <v>12</v>
      </c>
      <c r="G102" s="2">
        <v>13.25</v>
      </c>
      <c r="H102" s="5">
        <v>495</v>
      </c>
      <c r="I102" s="5">
        <v>576</v>
      </c>
      <c r="J102" s="6">
        <v>1.1636363636363636</v>
      </c>
      <c r="K102" s="5">
        <v>360</v>
      </c>
      <c r="L102" s="5">
        <v>437</v>
      </c>
      <c r="M102" s="6">
        <v>1.2138888888888888</v>
      </c>
      <c r="N102" s="5">
        <v>450</v>
      </c>
      <c r="O102" s="5">
        <v>566</v>
      </c>
      <c r="P102" s="6">
        <v>1.2577777777777779</v>
      </c>
      <c r="Q102" s="60">
        <f t="shared" si="2"/>
        <v>450</v>
      </c>
      <c r="R102" s="61">
        <f t="shared" si="3"/>
        <v>616.94000000000005</v>
      </c>
      <c r="S102" s="62">
        <f t="shared" si="4"/>
        <v>1.3709777777777779</v>
      </c>
    </row>
    <row r="103" spans="1:19" ht="30">
      <c r="A103" s="3">
        <v>102</v>
      </c>
      <c r="B103" s="1" t="s">
        <v>16</v>
      </c>
      <c r="C103" s="1" t="s">
        <v>117</v>
      </c>
      <c r="D103" s="2">
        <v>12.75</v>
      </c>
      <c r="E103" s="2">
        <v>12.75</v>
      </c>
      <c r="F103" s="2">
        <v>10.75</v>
      </c>
      <c r="G103" s="2">
        <v>11.75</v>
      </c>
      <c r="H103" s="5">
        <v>540</v>
      </c>
      <c r="I103" s="5">
        <v>397</v>
      </c>
      <c r="J103" s="6">
        <v>0.73518518518518516</v>
      </c>
      <c r="K103" s="5">
        <v>480</v>
      </c>
      <c r="L103" s="5">
        <v>310</v>
      </c>
      <c r="M103" s="6">
        <v>0.64583333333333337</v>
      </c>
      <c r="N103" s="5">
        <v>855</v>
      </c>
      <c r="O103" s="5">
        <v>421</v>
      </c>
      <c r="P103" s="6">
        <v>0.49239766081871345</v>
      </c>
      <c r="Q103" s="60">
        <f t="shared" si="2"/>
        <v>855</v>
      </c>
      <c r="R103" s="61">
        <f t="shared" si="3"/>
        <v>458.89000000000004</v>
      </c>
      <c r="S103" s="62">
        <f t="shared" si="4"/>
        <v>0.5367134502923977</v>
      </c>
    </row>
    <row r="104" spans="1:19" ht="30">
      <c r="A104" s="3">
        <v>103</v>
      </c>
      <c r="B104" s="1" t="s">
        <v>16</v>
      </c>
      <c r="C104" s="1" t="s">
        <v>118</v>
      </c>
      <c r="D104" s="2">
        <v>13</v>
      </c>
      <c r="E104" s="2">
        <v>13</v>
      </c>
      <c r="F104" s="2">
        <v>10.5</v>
      </c>
      <c r="G104" s="2">
        <v>13.25</v>
      </c>
      <c r="H104" s="5">
        <v>630</v>
      </c>
      <c r="I104" s="5">
        <v>462</v>
      </c>
      <c r="J104" s="6">
        <v>0.73333333333333328</v>
      </c>
      <c r="K104" s="5">
        <v>630</v>
      </c>
      <c r="L104" s="5">
        <v>350</v>
      </c>
      <c r="M104" s="6">
        <v>0.55555555555555558</v>
      </c>
      <c r="N104" s="5">
        <v>765</v>
      </c>
      <c r="O104" s="5">
        <v>392</v>
      </c>
      <c r="P104" s="6">
        <v>0.51241830065359473</v>
      </c>
      <c r="Q104" s="60">
        <f t="shared" si="2"/>
        <v>765</v>
      </c>
      <c r="R104" s="61">
        <f t="shared" si="3"/>
        <v>427.28000000000003</v>
      </c>
      <c r="S104" s="62">
        <f t="shared" si="4"/>
        <v>0.55853594771241832</v>
      </c>
    </row>
    <row r="105" spans="1:19" ht="30">
      <c r="A105" s="3">
        <v>104</v>
      </c>
      <c r="B105" s="1" t="s">
        <v>16</v>
      </c>
      <c r="C105" s="1" t="s">
        <v>119</v>
      </c>
      <c r="D105" s="2">
        <v>21</v>
      </c>
      <c r="E105" s="2">
        <v>21</v>
      </c>
      <c r="F105" s="2">
        <v>21.75</v>
      </c>
      <c r="G105" s="2">
        <v>23.25</v>
      </c>
      <c r="H105" s="5">
        <v>1125</v>
      </c>
      <c r="I105" s="5">
        <v>1814</v>
      </c>
      <c r="J105" s="6">
        <v>1.6124444444444443</v>
      </c>
      <c r="K105" s="5">
        <v>900</v>
      </c>
      <c r="L105" s="5">
        <v>1457</v>
      </c>
      <c r="M105" s="6">
        <v>1.6188888888888888</v>
      </c>
      <c r="N105" s="5">
        <v>1035</v>
      </c>
      <c r="O105" s="5">
        <v>2146</v>
      </c>
      <c r="P105" s="6">
        <v>2.0734299516908212</v>
      </c>
      <c r="Q105" s="60">
        <f t="shared" si="2"/>
        <v>1035</v>
      </c>
      <c r="R105" s="61">
        <f t="shared" si="3"/>
        <v>2339.1400000000003</v>
      </c>
      <c r="S105" s="62">
        <f t="shared" si="4"/>
        <v>2.2600386473429954</v>
      </c>
    </row>
    <row r="106" spans="1:19" s="8" customFormat="1" ht="30">
      <c r="A106" s="3">
        <v>105</v>
      </c>
      <c r="B106" s="1" t="s">
        <v>16</v>
      </c>
      <c r="C106" s="1" t="s">
        <v>120</v>
      </c>
      <c r="D106" s="2">
        <v>19.5</v>
      </c>
      <c r="E106" s="2">
        <v>19.5</v>
      </c>
      <c r="F106" s="2">
        <v>18.5</v>
      </c>
      <c r="G106" s="2">
        <v>21.75</v>
      </c>
      <c r="H106" s="5">
        <v>675</v>
      </c>
      <c r="I106" s="5">
        <v>1140</v>
      </c>
      <c r="J106" s="6">
        <v>1.6888888888888889</v>
      </c>
      <c r="K106" s="5">
        <v>650</v>
      </c>
      <c r="L106" s="5">
        <v>680</v>
      </c>
      <c r="M106" s="6">
        <v>1.0461538461538462</v>
      </c>
      <c r="N106" s="5">
        <v>675</v>
      </c>
      <c r="O106" s="5">
        <v>1655</v>
      </c>
      <c r="P106" s="6">
        <v>2.4518518518518517</v>
      </c>
      <c r="Q106" s="60">
        <f t="shared" si="2"/>
        <v>675</v>
      </c>
      <c r="R106" s="61">
        <f t="shared" si="3"/>
        <v>1803.95</v>
      </c>
      <c r="S106" s="62">
        <f t="shared" si="4"/>
        <v>2.6725185185185185</v>
      </c>
    </row>
    <row r="107" spans="1:19" s="18" customFormat="1" ht="30">
      <c r="A107" s="3">
        <v>106</v>
      </c>
      <c r="B107" s="14" t="s">
        <v>16</v>
      </c>
      <c r="C107" s="14" t="s">
        <v>121</v>
      </c>
      <c r="D107" s="15">
        <f>G107</f>
        <v>16.25</v>
      </c>
      <c r="E107" s="15">
        <f>D107</f>
        <v>16.25</v>
      </c>
      <c r="F107" s="15">
        <f>E107</f>
        <v>16.25</v>
      </c>
      <c r="G107" s="15">
        <v>16.25</v>
      </c>
      <c r="H107" s="16">
        <f>N107</f>
        <v>675</v>
      </c>
      <c r="I107" s="16">
        <f>H107</f>
        <v>675</v>
      </c>
      <c r="J107" s="17">
        <f>I107/H107</f>
        <v>1</v>
      </c>
      <c r="K107" s="16">
        <f>H107</f>
        <v>675</v>
      </c>
      <c r="L107" s="16">
        <f>I107</f>
        <v>675</v>
      </c>
      <c r="M107" s="17">
        <f>L107/K107</f>
        <v>1</v>
      </c>
      <c r="N107" s="16">
        <v>675</v>
      </c>
      <c r="O107" s="16">
        <f>N107</f>
        <v>675</v>
      </c>
      <c r="P107" s="17">
        <f>O107/N107</f>
        <v>1</v>
      </c>
      <c r="Q107" s="60">
        <f t="shared" si="2"/>
        <v>675</v>
      </c>
      <c r="R107" s="61">
        <f t="shared" si="3"/>
        <v>735.75</v>
      </c>
      <c r="S107" s="62">
        <f t="shared" si="4"/>
        <v>1.0900000000000001</v>
      </c>
    </row>
    <row r="108" spans="1:19" ht="30">
      <c r="A108" s="3">
        <v>107</v>
      </c>
      <c r="B108" s="1" t="s">
        <v>16</v>
      </c>
      <c r="C108" s="1" t="s">
        <v>122</v>
      </c>
      <c r="D108" s="2">
        <v>16.5</v>
      </c>
      <c r="E108" s="2">
        <v>16.5</v>
      </c>
      <c r="F108" s="2">
        <v>16.75</v>
      </c>
      <c r="G108" s="2">
        <v>19</v>
      </c>
      <c r="H108" s="5">
        <v>765</v>
      </c>
      <c r="I108" s="5">
        <v>1183</v>
      </c>
      <c r="J108" s="6">
        <v>1.54640522875817</v>
      </c>
      <c r="K108" s="5">
        <v>540</v>
      </c>
      <c r="L108" s="5">
        <v>1150</v>
      </c>
      <c r="M108" s="6">
        <v>2.1296296296296298</v>
      </c>
      <c r="N108" s="5">
        <v>720</v>
      </c>
      <c r="O108" s="5">
        <v>1558</v>
      </c>
      <c r="P108" s="6">
        <v>2.1638888888888888</v>
      </c>
      <c r="Q108" s="60">
        <f t="shared" si="2"/>
        <v>720</v>
      </c>
      <c r="R108" s="61">
        <f t="shared" si="3"/>
        <v>1698.22</v>
      </c>
      <c r="S108" s="62">
        <f t="shared" si="4"/>
        <v>2.3586388888888887</v>
      </c>
    </row>
    <row r="109" spans="1:19" ht="30">
      <c r="A109" s="3">
        <v>108</v>
      </c>
      <c r="B109" s="1" t="s">
        <v>16</v>
      </c>
      <c r="C109" s="1" t="s">
        <v>123</v>
      </c>
      <c r="D109" s="2">
        <v>18</v>
      </c>
      <c r="E109" s="2">
        <v>18</v>
      </c>
      <c r="F109" s="2">
        <v>18.25</v>
      </c>
      <c r="G109" s="2">
        <v>21</v>
      </c>
      <c r="H109" s="5">
        <v>720</v>
      </c>
      <c r="I109" s="5">
        <v>1153</v>
      </c>
      <c r="J109" s="6">
        <v>1.601388888888889</v>
      </c>
      <c r="K109" s="5">
        <v>630</v>
      </c>
      <c r="L109" s="5">
        <v>970</v>
      </c>
      <c r="M109" s="6">
        <v>1.5396825396825398</v>
      </c>
      <c r="N109" s="5">
        <v>630</v>
      </c>
      <c r="O109" s="5">
        <v>1252</v>
      </c>
      <c r="P109" s="6">
        <v>1.9873015873015873</v>
      </c>
      <c r="Q109" s="60">
        <f t="shared" si="2"/>
        <v>630</v>
      </c>
      <c r="R109" s="61">
        <f t="shared" si="3"/>
        <v>1364.68</v>
      </c>
      <c r="S109" s="62">
        <f t="shared" si="4"/>
        <v>2.1661587301587302</v>
      </c>
    </row>
    <row r="110" spans="1:19" ht="30">
      <c r="A110" s="3">
        <v>109</v>
      </c>
      <c r="B110" s="1" t="s">
        <v>16</v>
      </c>
      <c r="C110" s="1" t="s">
        <v>124</v>
      </c>
      <c r="D110" s="2">
        <v>18.5</v>
      </c>
      <c r="E110" s="2">
        <v>18.5</v>
      </c>
      <c r="F110" s="2">
        <v>17.75</v>
      </c>
      <c r="G110" s="2">
        <v>19.75</v>
      </c>
      <c r="H110" s="5">
        <v>675</v>
      </c>
      <c r="I110" s="5">
        <v>1576</v>
      </c>
      <c r="J110" s="6">
        <v>2.3348148148148149</v>
      </c>
      <c r="K110" s="5">
        <v>720</v>
      </c>
      <c r="L110" s="5">
        <v>1006</v>
      </c>
      <c r="M110" s="6">
        <v>1.3972222222222221</v>
      </c>
      <c r="N110" s="5">
        <v>855</v>
      </c>
      <c r="O110" s="5">
        <v>1464</v>
      </c>
      <c r="P110" s="6">
        <v>1.712280701754386</v>
      </c>
      <c r="Q110" s="60">
        <f t="shared" si="2"/>
        <v>855</v>
      </c>
      <c r="R110" s="61">
        <f t="shared" si="3"/>
        <v>1595.7600000000002</v>
      </c>
      <c r="S110" s="62">
        <f t="shared" si="4"/>
        <v>1.8663859649122809</v>
      </c>
    </row>
    <row r="111" spans="1:19" ht="30">
      <c r="A111" s="3">
        <v>110</v>
      </c>
      <c r="B111" s="1" t="s">
        <v>16</v>
      </c>
      <c r="C111" s="1" t="s">
        <v>125</v>
      </c>
      <c r="D111" s="2">
        <v>15</v>
      </c>
      <c r="E111" s="2">
        <v>15</v>
      </c>
      <c r="F111" s="2">
        <v>14.25</v>
      </c>
      <c r="G111" s="2">
        <v>16</v>
      </c>
      <c r="H111" s="5">
        <v>810</v>
      </c>
      <c r="I111" s="5">
        <v>830</v>
      </c>
      <c r="J111" s="6">
        <v>1.0246913580246915</v>
      </c>
      <c r="K111" s="5">
        <v>720</v>
      </c>
      <c r="L111" s="5">
        <v>680</v>
      </c>
      <c r="M111" s="6">
        <v>0.94444444444444442</v>
      </c>
      <c r="N111" s="5">
        <v>855</v>
      </c>
      <c r="O111" s="5">
        <v>733</v>
      </c>
      <c r="P111" s="6">
        <v>0.8573099415204678</v>
      </c>
      <c r="Q111" s="60">
        <f t="shared" si="2"/>
        <v>855</v>
      </c>
      <c r="R111" s="61">
        <f t="shared" si="3"/>
        <v>798.97</v>
      </c>
      <c r="S111" s="62">
        <f t="shared" si="4"/>
        <v>0.93446783625731</v>
      </c>
    </row>
    <row r="112" spans="1:19" s="48" customFormat="1" ht="45">
      <c r="A112" s="3">
        <v>111</v>
      </c>
      <c r="B112" s="44" t="s">
        <v>16</v>
      </c>
      <c r="C112" s="44" t="s">
        <v>172</v>
      </c>
      <c r="D112" s="45">
        <f>F112</f>
        <v>13</v>
      </c>
      <c r="E112" s="45">
        <f>D112</f>
        <v>13</v>
      </c>
      <c r="F112" s="45">
        <v>13</v>
      </c>
      <c r="G112" s="45">
        <v>15.5</v>
      </c>
      <c r="H112" s="46">
        <f>K112</f>
        <v>540</v>
      </c>
      <c r="I112" s="46">
        <f>H112</f>
        <v>540</v>
      </c>
      <c r="J112" s="47">
        <f>I112/H112</f>
        <v>1</v>
      </c>
      <c r="K112" s="46">
        <v>540</v>
      </c>
      <c r="L112" s="46">
        <v>332</v>
      </c>
      <c r="M112" s="47">
        <f>L112/K112</f>
        <v>0.61481481481481481</v>
      </c>
      <c r="N112" s="46">
        <v>810</v>
      </c>
      <c r="O112" s="46">
        <v>943</v>
      </c>
      <c r="P112" s="47">
        <v>1.1641975308641976</v>
      </c>
      <c r="Q112" s="60">
        <f t="shared" si="2"/>
        <v>810</v>
      </c>
      <c r="R112" s="61">
        <f t="shared" si="3"/>
        <v>1027.8700000000001</v>
      </c>
      <c r="S112" s="62">
        <f t="shared" si="4"/>
        <v>1.2689753086419755</v>
      </c>
    </row>
    <row r="113" spans="1:20" ht="30">
      <c r="A113" s="3">
        <v>112</v>
      </c>
      <c r="B113" s="1" t="s">
        <v>16</v>
      </c>
      <c r="C113" s="1" t="s">
        <v>126</v>
      </c>
      <c r="D113" s="2">
        <v>15.25</v>
      </c>
      <c r="E113" s="2">
        <v>15.25</v>
      </c>
      <c r="F113" s="2">
        <v>15.25</v>
      </c>
      <c r="G113" s="2">
        <v>17.25</v>
      </c>
      <c r="H113" s="5">
        <v>810</v>
      </c>
      <c r="I113" s="5">
        <v>944</v>
      </c>
      <c r="J113" s="6">
        <v>1.1654320987654321</v>
      </c>
      <c r="K113" s="5">
        <v>675</v>
      </c>
      <c r="L113" s="5">
        <v>836</v>
      </c>
      <c r="M113" s="6">
        <v>1.2385185185185186</v>
      </c>
      <c r="N113" s="5">
        <v>855</v>
      </c>
      <c r="O113" s="5">
        <v>937</v>
      </c>
      <c r="P113" s="6">
        <v>1.0959064327485379</v>
      </c>
      <c r="Q113" s="60">
        <f t="shared" si="2"/>
        <v>855</v>
      </c>
      <c r="R113" s="61">
        <f t="shared" si="3"/>
        <v>1021.33</v>
      </c>
      <c r="S113" s="62">
        <f t="shared" si="4"/>
        <v>1.1945380116959066</v>
      </c>
      <c r="T113" s="20"/>
    </row>
    <row r="114" spans="1:20" ht="45">
      <c r="A114" s="3">
        <v>113</v>
      </c>
      <c r="B114" s="1" t="s">
        <v>127</v>
      </c>
      <c r="C114" s="1" t="s">
        <v>128</v>
      </c>
      <c r="D114" s="2">
        <v>17.05</v>
      </c>
      <c r="E114" s="2">
        <v>17.05</v>
      </c>
      <c r="F114" s="2">
        <v>17.55</v>
      </c>
      <c r="G114" s="2">
        <v>17.25</v>
      </c>
      <c r="H114" s="19">
        <v>630</v>
      </c>
      <c r="I114" s="19">
        <v>976</v>
      </c>
      <c r="J114" s="29">
        <f t="shared" ref="J114:J142" si="5">P114</f>
        <v>1.5493827160493827</v>
      </c>
      <c r="K114" s="19">
        <v>645</v>
      </c>
      <c r="L114" s="5">
        <f>M114*K114</f>
        <v>999.35185185185185</v>
      </c>
      <c r="M114" s="6">
        <f>P114</f>
        <v>1.5493827160493827</v>
      </c>
      <c r="N114" s="5">
        <v>810</v>
      </c>
      <c r="O114" s="5">
        <v>1255</v>
      </c>
      <c r="P114" s="6">
        <v>1.5493827160493827</v>
      </c>
      <c r="Q114" s="60">
        <f t="shared" si="2"/>
        <v>810</v>
      </c>
      <c r="R114" s="61">
        <f t="shared" si="3"/>
        <v>1367.95</v>
      </c>
      <c r="S114" s="62">
        <f t="shared" si="4"/>
        <v>1.6888271604938272</v>
      </c>
      <c r="T114" s="19"/>
    </row>
    <row r="115" spans="1:20" s="8" customFormat="1" ht="45">
      <c r="A115" s="3">
        <v>114</v>
      </c>
      <c r="B115" s="50" t="s">
        <v>127</v>
      </c>
      <c r="C115" s="50" t="s">
        <v>129</v>
      </c>
      <c r="D115" s="51">
        <v>14.75</v>
      </c>
      <c r="E115" s="51">
        <v>14.75</v>
      </c>
      <c r="F115" s="51">
        <v>14.65</v>
      </c>
      <c r="G115" s="51">
        <v>13.25</v>
      </c>
      <c r="H115" s="25">
        <v>210</v>
      </c>
      <c r="I115" s="25">
        <v>277</v>
      </c>
      <c r="J115" s="52">
        <f t="shared" si="5"/>
        <v>1.3174603174603174</v>
      </c>
      <c r="K115" s="25">
        <v>290</v>
      </c>
      <c r="L115" s="53">
        <f t="shared" ref="L115:L142" si="6">M115*K115</f>
        <v>382.06349206349205</v>
      </c>
      <c r="M115" s="54">
        <f t="shared" ref="M115:M142" si="7">P115</f>
        <v>1.3174603174603174</v>
      </c>
      <c r="N115" s="53">
        <v>315</v>
      </c>
      <c r="O115" s="53">
        <v>415</v>
      </c>
      <c r="P115" s="54">
        <v>1.3174603174603174</v>
      </c>
      <c r="Q115" s="60">
        <f t="shared" si="2"/>
        <v>315</v>
      </c>
      <c r="R115" s="61">
        <f t="shared" si="3"/>
        <v>452.35</v>
      </c>
      <c r="S115" s="62">
        <f t="shared" si="4"/>
        <v>1.4360317460317462</v>
      </c>
      <c r="T115" s="25"/>
    </row>
    <row r="116" spans="1:20" s="8" customFormat="1" ht="45">
      <c r="A116" s="3">
        <v>115</v>
      </c>
      <c r="B116" s="50" t="s">
        <v>127</v>
      </c>
      <c r="C116" s="50" t="s">
        <v>80</v>
      </c>
      <c r="D116" s="51">
        <v>10.25</v>
      </c>
      <c r="E116" s="51">
        <v>10.25</v>
      </c>
      <c r="F116" s="51">
        <v>15.8</v>
      </c>
      <c r="G116" s="51">
        <v>13.5</v>
      </c>
      <c r="H116" s="25">
        <v>360</v>
      </c>
      <c r="I116" s="25">
        <f t="shared" ref="I116" si="8">J116*H116</f>
        <v>440.00000000000006</v>
      </c>
      <c r="J116" s="52">
        <f t="shared" si="5"/>
        <v>1.2222222222222223</v>
      </c>
      <c r="K116" s="25">
        <v>270</v>
      </c>
      <c r="L116" s="53">
        <f t="shared" si="6"/>
        <v>330</v>
      </c>
      <c r="M116" s="54">
        <f t="shared" si="7"/>
        <v>1.2222222222222223</v>
      </c>
      <c r="N116" s="53">
        <v>450</v>
      </c>
      <c r="O116" s="53">
        <v>550</v>
      </c>
      <c r="P116" s="54">
        <v>1.2222222222222223</v>
      </c>
      <c r="Q116" s="60">
        <f t="shared" si="2"/>
        <v>450</v>
      </c>
      <c r="R116" s="61">
        <f t="shared" si="3"/>
        <v>599.5</v>
      </c>
      <c r="S116" s="62">
        <f t="shared" si="4"/>
        <v>1.3322222222222222</v>
      </c>
      <c r="T116" s="25"/>
    </row>
    <row r="117" spans="1:20" s="8" customFormat="1" ht="45">
      <c r="A117" s="3">
        <v>116</v>
      </c>
      <c r="B117" s="50" t="s">
        <v>127</v>
      </c>
      <c r="C117" s="50" t="s">
        <v>130</v>
      </c>
      <c r="D117" s="51">
        <v>23.3</v>
      </c>
      <c r="E117" s="51">
        <v>23.3</v>
      </c>
      <c r="F117" s="51">
        <v>22.1</v>
      </c>
      <c r="G117" s="51">
        <v>23.25</v>
      </c>
      <c r="H117" s="25">
        <v>520</v>
      </c>
      <c r="I117" s="25">
        <v>1219</v>
      </c>
      <c r="J117" s="52">
        <f t="shared" si="5"/>
        <v>2.3444444444444446</v>
      </c>
      <c r="K117" s="25">
        <v>480</v>
      </c>
      <c r="L117" s="53">
        <f t="shared" si="6"/>
        <v>1125.3333333333335</v>
      </c>
      <c r="M117" s="54">
        <f t="shared" si="7"/>
        <v>2.3444444444444446</v>
      </c>
      <c r="N117" s="53">
        <v>540</v>
      </c>
      <c r="O117" s="53">
        <v>1266</v>
      </c>
      <c r="P117" s="54">
        <v>2.3444444444444446</v>
      </c>
      <c r="Q117" s="60">
        <f t="shared" si="2"/>
        <v>540</v>
      </c>
      <c r="R117" s="61">
        <f t="shared" si="3"/>
        <v>1379.94</v>
      </c>
      <c r="S117" s="62">
        <f t="shared" si="4"/>
        <v>2.5554444444444444</v>
      </c>
      <c r="T117" s="25"/>
    </row>
    <row r="118" spans="1:20" s="8" customFormat="1" ht="45">
      <c r="A118" s="3">
        <v>117</v>
      </c>
      <c r="B118" s="50" t="s">
        <v>127</v>
      </c>
      <c r="C118" s="50" t="s">
        <v>131</v>
      </c>
      <c r="D118" s="51">
        <v>18.100000000000001</v>
      </c>
      <c r="E118" s="51">
        <v>18.100000000000001</v>
      </c>
      <c r="F118" s="51">
        <v>17.899999999999999</v>
      </c>
      <c r="G118" s="51">
        <v>20</v>
      </c>
      <c r="H118" s="25">
        <v>600</v>
      </c>
      <c r="I118" s="25">
        <v>1078</v>
      </c>
      <c r="J118" s="52">
        <f t="shared" si="5"/>
        <v>1.7975308641975309</v>
      </c>
      <c r="K118" s="25">
        <v>625</v>
      </c>
      <c r="L118" s="53">
        <f t="shared" si="6"/>
        <v>1123.4567901234568</v>
      </c>
      <c r="M118" s="54">
        <f t="shared" si="7"/>
        <v>1.7975308641975309</v>
      </c>
      <c r="N118" s="53">
        <v>810</v>
      </c>
      <c r="O118" s="53">
        <v>1456</v>
      </c>
      <c r="P118" s="54">
        <v>1.7975308641975309</v>
      </c>
      <c r="Q118" s="60">
        <f t="shared" si="2"/>
        <v>810</v>
      </c>
      <c r="R118" s="61">
        <f t="shared" si="3"/>
        <v>1587.0400000000002</v>
      </c>
      <c r="S118" s="62">
        <f t="shared" si="4"/>
        <v>1.959308641975309</v>
      </c>
      <c r="T118" s="25"/>
    </row>
    <row r="119" spans="1:20" s="8" customFormat="1" ht="45">
      <c r="A119" s="3">
        <v>118</v>
      </c>
      <c r="B119" s="50" t="s">
        <v>127</v>
      </c>
      <c r="C119" s="50" t="s">
        <v>132</v>
      </c>
      <c r="D119" s="51">
        <v>13</v>
      </c>
      <c r="E119" s="51">
        <v>13</v>
      </c>
      <c r="F119" s="51">
        <v>12.5</v>
      </c>
      <c r="G119" s="51">
        <v>10.75</v>
      </c>
      <c r="H119" s="25">
        <v>240</v>
      </c>
      <c r="I119" s="25">
        <v>263</v>
      </c>
      <c r="J119" s="52">
        <f t="shared" si="5"/>
        <v>1.0972222222222223</v>
      </c>
      <c r="K119" s="25">
        <v>240</v>
      </c>
      <c r="L119" s="53">
        <f t="shared" si="6"/>
        <v>263.33333333333337</v>
      </c>
      <c r="M119" s="54">
        <f t="shared" si="7"/>
        <v>1.0972222222222223</v>
      </c>
      <c r="N119" s="53">
        <v>360</v>
      </c>
      <c r="O119" s="53">
        <v>395</v>
      </c>
      <c r="P119" s="54">
        <v>1.0972222222222223</v>
      </c>
      <c r="Q119" s="60">
        <f t="shared" si="2"/>
        <v>360</v>
      </c>
      <c r="R119" s="61">
        <f t="shared" si="3"/>
        <v>430.55</v>
      </c>
      <c r="S119" s="62">
        <f t="shared" si="4"/>
        <v>1.1959722222222222</v>
      </c>
      <c r="T119" s="25"/>
    </row>
    <row r="120" spans="1:20" s="8" customFormat="1" ht="45">
      <c r="A120" s="3">
        <v>119</v>
      </c>
      <c r="B120" s="50" t="s">
        <v>127</v>
      </c>
      <c r="C120" s="50" t="s">
        <v>133</v>
      </c>
      <c r="D120" s="51">
        <v>18.25</v>
      </c>
      <c r="E120" s="51">
        <v>18.25</v>
      </c>
      <c r="F120" s="51">
        <v>19.350000000000001</v>
      </c>
      <c r="G120" s="51">
        <v>19</v>
      </c>
      <c r="H120" s="25">
        <v>560</v>
      </c>
      <c r="I120" s="25">
        <v>857</v>
      </c>
      <c r="J120" s="52">
        <f t="shared" si="5"/>
        <v>1.5297872340425531</v>
      </c>
      <c r="K120" s="25">
        <v>410</v>
      </c>
      <c r="L120" s="53">
        <f t="shared" si="6"/>
        <v>627.21276595744678</v>
      </c>
      <c r="M120" s="54">
        <f t="shared" si="7"/>
        <v>1.5297872340425531</v>
      </c>
      <c r="N120" s="53">
        <v>470</v>
      </c>
      <c r="O120" s="53">
        <v>719</v>
      </c>
      <c r="P120" s="54">
        <v>1.5297872340425531</v>
      </c>
      <c r="Q120" s="60">
        <f t="shared" si="2"/>
        <v>470</v>
      </c>
      <c r="R120" s="61">
        <f t="shared" si="3"/>
        <v>783.71</v>
      </c>
      <c r="S120" s="62">
        <f t="shared" si="4"/>
        <v>1.667468085106383</v>
      </c>
      <c r="T120" s="25"/>
    </row>
    <row r="121" spans="1:20" s="8" customFormat="1" ht="45">
      <c r="A121" s="3">
        <v>120</v>
      </c>
      <c r="B121" s="50" t="s">
        <v>127</v>
      </c>
      <c r="C121" s="50" t="s">
        <v>134</v>
      </c>
      <c r="D121" s="51">
        <v>16.149999999999999</v>
      </c>
      <c r="E121" s="51">
        <v>16.149999999999999</v>
      </c>
      <c r="F121" s="51">
        <v>16.149999999999999</v>
      </c>
      <c r="G121" s="51">
        <v>16.75</v>
      </c>
      <c r="H121" s="25">
        <v>540</v>
      </c>
      <c r="I121" s="25">
        <v>920</v>
      </c>
      <c r="J121" s="52">
        <f t="shared" si="5"/>
        <v>1.7042735042735042</v>
      </c>
      <c r="K121" s="25">
        <v>495</v>
      </c>
      <c r="L121" s="53">
        <f t="shared" si="6"/>
        <v>843.61538461538464</v>
      </c>
      <c r="M121" s="54">
        <f t="shared" si="7"/>
        <v>1.7042735042735042</v>
      </c>
      <c r="N121" s="53">
        <v>585</v>
      </c>
      <c r="O121" s="53">
        <v>997</v>
      </c>
      <c r="P121" s="54">
        <v>1.7042735042735042</v>
      </c>
      <c r="Q121" s="60">
        <f t="shared" si="2"/>
        <v>585</v>
      </c>
      <c r="R121" s="61">
        <f t="shared" si="3"/>
        <v>1086.73</v>
      </c>
      <c r="S121" s="62">
        <f t="shared" si="4"/>
        <v>1.8576581196581197</v>
      </c>
      <c r="T121" s="25"/>
    </row>
    <row r="122" spans="1:20" s="8" customFormat="1" ht="45">
      <c r="A122" s="3">
        <v>121</v>
      </c>
      <c r="B122" s="50" t="s">
        <v>127</v>
      </c>
      <c r="C122" s="50" t="s">
        <v>135</v>
      </c>
      <c r="D122" s="51">
        <v>23.65</v>
      </c>
      <c r="E122" s="51">
        <v>23.65</v>
      </c>
      <c r="F122" s="51">
        <v>22.25</v>
      </c>
      <c r="G122" s="51">
        <v>23.25</v>
      </c>
      <c r="H122" s="25">
        <v>525</v>
      </c>
      <c r="I122" s="25">
        <v>1217</v>
      </c>
      <c r="J122" s="52">
        <f t="shared" si="5"/>
        <v>2.3189542483660133</v>
      </c>
      <c r="K122" s="25">
        <v>490</v>
      </c>
      <c r="L122" s="53">
        <f t="shared" si="6"/>
        <v>1136.2875816993464</v>
      </c>
      <c r="M122" s="54">
        <f t="shared" si="7"/>
        <v>2.3189542483660133</v>
      </c>
      <c r="N122" s="53">
        <v>765</v>
      </c>
      <c r="O122" s="53">
        <v>1774</v>
      </c>
      <c r="P122" s="54">
        <v>2.3189542483660133</v>
      </c>
      <c r="Q122" s="60">
        <f t="shared" si="2"/>
        <v>765</v>
      </c>
      <c r="R122" s="61">
        <f t="shared" si="3"/>
        <v>1933.66</v>
      </c>
      <c r="S122" s="62">
        <f t="shared" si="4"/>
        <v>2.5276601307189543</v>
      </c>
      <c r="T122" s="25"/>
    </row>
    <row r="123" spans="1:20" s="8" customFormat="1" ht="45">
      <c r="A123" s="3">
        <v>122</v>
      </c>
      <c r="B123" s="50" t="s">
        <v>127</v>
      </c>
      <c r="C123" s="50" t="s">
        <v>30</v>
      </c>
      <c r="D123" s="51">
        <v>19.149999999999999</v>
      </c>
      <c r="E123" s="51">
        <v>19.149999999999999</v>
      </c>
      <c r="F123" s="51">
        <v>18.149999999999999</v>
      </c>
      <c r="G123" s="51">
        <v>19.75</v>
      </c>
      <c r="H123" s="25">
        <v>625</v>
      </c>
      <c r="I123" s="25">
        <v>1218</v>
      </c>
      <c r="J123" s="52">
        <f t="shared" si="5"/>
        <v>1.9492063492063492</v>
      </c>
      <c r="K123" s="25">
        <v>585</v>
      </c>
      <c r="L123" s="53">
        <f t="shared" si="6"/>
        <v>1140.2857142857142</v>
      </c>
      <c r="M123" s="54">
        <f t="shared" si="7"/>
        <v>1.9492063492063492</v>
      </c>
      <c r="N123" s="53">
        <v>630</v>
      </c>
      <c r="O123" s="53">
        <v>1228</v>
      </c>
      <c r="P123" s="54">
        <v>1.9492063492063492</v>
      </c>
      <c r="Q123" s="60">
        <f t="shared" si="2"/>
        <v>630</v>
      </c>
      <c r="R123" s="61">
        <f t="shared" si="3"/>
        <v>1338.5200000000002</v>
      </c>
      <c r="S123" s="62">
        <f t="shared" si="4"/>
        <v>2.1246349206349211</v>
      </c>
      <c r="T123" s="25"/>
    </row>
    <row r="124" spans="1:20" s="8" customFormat="1" ht="45">
      <c r="A124" s="3">
        <v>123</v>
      </c>
      <c r="B124" s="50" t="s">
        <v>127</v>
      </c>
      <c r="C124" s="50" t="s">
        <v>57</v>
      </c>
      <c r="D124" s="51">
        <v>17.399999999999999</v>
      </c>
      <c r="E124" s="51">
        <v>17.399999999999999</v>
      </c>
      <c r="F124" s="51">
        <v>17.649999999999999</v>
      </c>
      <c r="G124" s="51">
        <v>15.75</v>
      </c>
      <c r="H124" s="25">
        <v>530</v>
      </c>
      <c r="I124" s="25">
        <v>989</v>
      </c>
      <c r="J124" s="52">
        <f t="shared" si="5"/>
        <v>1.8666666666666667</v>
      </c>
      <c r="K124" s="25">
        <v>560</v>
      </c>
      <c r="L124" s="53">
        <f t="shared" si="6"/>
        <v>1045.3333333333333</v>
      </c>
      <c r="M124" s="54">
        <f t="shared" si="7"/>
        <v>1.8666666666666667</v>
      </c>
      <c r="N124" s="53">
        <v>540</v>
      </c>
      <c r="O124" s="53">
        <v>1008</v>
      </c>
      <c r="P124" s="54">
        <v>1.8666666666666667</v>
      </c>
      <c r="Q124" s="60">
        <f t="shared" si="2"/>
        <v>540</v>
      </c>
      <c r="R124" s="61">
        <f t="shared" si="3"/>
        <v>1098.72</v>
      </c>
      <c r="S124" s="62">
        <f t="shared" si="4"/>
        <v>2.0346666666666668</v>
      </c>
      <c r="T124" s="25"/>
    </row>
    <row r="125" spans="1:20" s="8" customFormat="1" ht="45">
      <c r="A125" s="3">
        <v>124</v>
      </c>
      <c r="B125" s="50" t="s">
        <v>127</v>
      </c>
      <c r="C125" s="50" t="s">
        <v>136</v>
      </c>
      <c r="D125" s="51">
        <v>15.4</v>
      </c>
      <c r="E125" s="51">
        <v>15.4</v>
      </c>
      <c r="F125" s="51">
        <v>16.8</v>
      </c>
      <c r="G125" s="51">
        <v>15</v>
      </c>
      <c r="H125" s="25">
        <v>480</v>
      </c>
      <c r="I125" s="25">
        <v>814</v>
      </c>
      <c r="J125" s="52">
        <f t="shared" si="5"/>
        <v>1.6962962962962962</v>
      </c>
      <c r="K125" s="25">
        <v>440</v>
      </c>
      <c r="L125" s="53">
        <f t="shared" si="6"/>
        <v>746.37037037037032</v>
      </c>
      <c r="M125" s="54">
        <f t="shared" si="7"/>
        <v>1.6962962962962962</v>
      </c>
      <c r="N125" s="53">
        <v>675</v>
      </c>
      <c r="O125" s="53">
        <v>1145</v>
      </c>
      <c r="P125" s="54">
        <v>1.6962962962962962</v>
      </c>
      <c r="Q125" s="60">
        <f t="shared" si="2"/>
        <v>675</v>
      </c>
      <c r="R125" s="61">
        <f t="shared" si="3"/>
        <v>1248.0500000000002</v>
      </c>
      <c r="S125" s="62">
        <f t="shared" si="4"/>
        <v>1.8489629629629631</v>
      </c>
      <c r="T125" s="25"/>
    </row>
    <row r="126" spans="1:20" s="8" customFormat="1" ht="45">
      <c r="A126" s="3">
        <v>125</v>
      </c>
      <c r="B126" s="50" t="s">
        <v>127</v>
      </c>
      <c r="C126" s="50" t="s">
        <v>137</v>
      </c>
      <c r="D126" s="51">
        <v>11.6</v>
      </c>
      <c r="E126" s="51">
        <v>11.6</v>
      </c>
      <c r="F126" s="51">
        <v>12.2</v>
      </c>
      <c r="G126" s="51">
        <v>11.5</v>
      </c>
      <c r="H126" s="25">
        <v>540</v>
      </c>
      <c r="I126" s="25">
        <v>641</v>
      </c>
      <c r="J126" s="52">
        <f t="shared" si="5"/>
        <v>1.1873015873015873</v>
      </c>
      <c r="K126" s="25">
        <v>520</v>
      </c>
      <c r="L126" s="53">
        <f t="shared" si="6"/>
        <v>617.39682539682542</v>
      </c>
      <c r="M126" s="54">
        <f t="shared" si="7"/>
        <v>1.1873015873015873</v>
      </c>
      <c r="N126" s="53">
        <v>630</v>
      </c>
      <c r="O126" s="53">
        <v>748</v>
      </c>
      <c r="P126" s="54">
        <v>1.1873015873015873</v>
      </c>
      <c r="Q126" s="60">
        <f t="shared" si="2"/>
        <v>630</v>
      </c>
      <c r="R126" s="61">
        <f t="shared" si="3"/>
        <v>815.32</v>
      </c>
      <c r="S126" s="62">
        <f t="shared" si="4"/>
        <v>1.2941587301587303</v>
      </c>
      <c r="T126" s="25"/>
    </row>
    <row r="127" spans="1:20" s="8" customFormat="1" ht="45">
      <c r="A127" s="3">
        <v>126</v>
      </c>
      <c r="B127" s="50" t="s">
        <v>127</v>
      </c>
      <c r="C127" s="50" t="s">
        <v>138</v>
      </c>
      <c r="D127" s="51">
        <v>17.7</v>
      </c>
      <c r="E127" s="51">
        <v>17.7</v>
      </c>
      <c r="F127" s="51">
        <v>17.600000000000001</v>
      </c>
      <c r="G127" s="51">
        <v>18.5</v>
      </c>
      <c r="H127" s="25">
        <v>675</v>
      </c>
      <c r="I127" s="25">
        <v>1433</v>
      </c>
      <c r="J127" s="52">
        <f t="shared" si="5"/>
        <v>2.1234567901234569</v>
      </c>
      <c r="K127" s="25">
        <v>650</v>
      </c>
      <c r="L127" s="53">
        <f t="shared" si="6"/>
        <v>1380.2469135802469</v>
      </c>
      <c r="M127" s="54">
        <f t="shared" si="7"/>
        <v>2.1234567901234569</v>
      </c>
      <c r="N127" s="53">
        <v>810</v>
      </c>
      <c r="O127" s="53">
        <v>1720</v>
      </c>
      <c r="P127" s="54">
        <v>2.1234567901234569</v>
      </c>
      <c r="Q127" s="60">
        <f t="shared" si="2"/>
        <v>810</v>
      </c>
      <c r="R127" s="61">
        <f t="shared" si="3"/>
        <v>1874.8000000000002</v>
      </c>
      <c r="S127" s="62">
        <f t="shared" si="4"/>
        <v>2.3145679012345681</v>
      </c>
      <c r="T127" s="25"/>
    </row>
    <row r="128" spans="1:20" s="8" customFormat="1" ht="45">
      <c r="A128" s="3">
        <v>127</v>
      </c>
      <c r="B128" s="50" t="s">
        <v>127</v>
      </c>
      <c r="C128" s="50" t="s">
        <v>139</v>
      </c>
      <c r="D128" s="51">
        <v>13.4</v>
      </c>
      <c r="E128" s="51">
        <v>13.4</v>
      </c>
      <c r="F128" s="51">
        <v>13.15</v>
      </c>
      <c r="G128" s="51">
        <v>12.5</v>
      </c>
      <c r="H128" s="25">
        <v>360</v>
      </c>
      <c r="I128" s="25">
        <v>457</v>
      </c>
      <c r="J128" s="52">
        <f t="shared" si="5"/>
        <v>1.268888888888889</v>
      </c>
      <c r="K128" s="25">
        <v>360</v>
      </c>
      <c r="L128" s="53">
        <f t="shared" si="6"/>
        <v>456.8</v>
      </c>
      <c r="M128" s="54">
        <f t="shared" si="7"/>
        <v>1.268888888888889</v>
      </c>
      <c r="N128" s="53">
        <v>450</v>
      </c>
      <c r="O128" s="53">
        <v>571</v>
      </c>
      <c r="P128" s="54">
        <v>1.268888888888889</v>
      </c>
      <c r="Q128" s="60">
        <f t="shared" si="2"/>
        <v>450</v>
      </c>
      <c r="R128" s="61">
        <f t="shared" si="3"/>
        <v>622.3900000000001</v>
      </c>
      <c r="S128" s="62">
        <f t="shared" si="4"/>
        <v>1.383088888888889</v>
      </c>
      <c r="T128" s="25"/>
    </row>
    <row r="129" spans="1:23" s="8" customFormat="1" ht="45">
      <c r="A129" s="3">
        <v>128</v>
      </c>
      <c r="B129" s="50" t="s">
        <v>127</v>
      </c>
      <c r="C129" s="50" t="s">
        <v>37</v>
      </c>
      <c r="D129" s="51">
        <v>14.85</v>
      </c>
      <c r="E129" s="51">
        <v>14.85</v>
      </c>
      <c r="F129" s="51">
        <v>16.55</v>
      </c>
      <c r="G129" s="51">
        <v>15.5</v>
      </c>
      <c r="H129" s="25">
        <v>630</v>
      </c>
      <c r="I129" s="25">
        <v>860</v>
      </c>
      <c r="J129" s="52">
        <f t="shared" si="5"/>
        <v>1.3641975308641976</v>
      </c>
      <c r="K129" s="25">
        <v>516</v>
      </c>
      <c r="L129" s="53">
        <f t="shared" si="6"/>
        <v>703.92592592592598</v>
      </c>
      <c r="M129" s="54">
        <f t="shared" si="7"/>
        <v>1.3641975308641976</v>
      </c>
      <c r="N129" s="53">
        <v>810</v>
      </c>
      <c r="O129" s="53">
        <v>1105</v>
      </c>
      <c r="P129" s="54">
        <v>1.3641975308641976</v>
      </c>
      <c r="Q129" s="60">
        <f t="shared" si="2"/>
        <v>810</v>
      </c>
      <c r="R129" s="61">
        <f t="shared" si="3"/>
        <v>1204.45</v>
      </c>
      <c r="S129" s="62">
        <f t="shared" si="4"/>
        <v>1.4869753086419755</v>
      </c>
      <c r="T129" s="25"/>
    </row>
    <row r="130" spans="1:23" s="8" customFormat="1" ht="45">
      <c r="A130" s="3">
        <v>129</v>
      </c>
      <c r="B130" s="50" t="s">
        <v>127</v>
      </c>
      <c r="C130" s="50" t="s">
        <v>140</v>
      </c>
      <c r="D130" s="51">
        <v>16.25</v>
      </c>
      <c r="E130" s="51">
        <v>16.25</v>
      </c>
      <c r="F130" s="51">
        <v>17.2</v>
      </c>
      <c r="G130" s="51">
        <v>16.75</v>
      </c>
      <c r="H130" s="25">
        <v>670</v>
      </c>
      <c r="I130" s="25">
        <v>1570</v>
      </c>
      <c r="J130" s="52">
        <f t="shared" si="5"/>
        <v>2.25</v>
      </c>
      <c r="K130" s="25">
        <v>540</v>
      </c>
      <c r="L130" s="53">
        <f t="shared" si="6"/>
        <v>1215</v>
      </c>
      <c r="M130" s="54">
        <f t="shared" si="7"/>
        <v>2.25</v>
      </c>
      <c r="N130" s="53">
        <v>540</v>
      </c>
      <c r="O130" s="53">
        <v>1215</v>
      </c>
      <c r="P130" s="54">
        <v>2.25</v>
      </c>
      <c r="Q130" s="60">
        <f t="shared" si="2"/>
        <v>540</v>
      </c>
      <c r="R130" s="61">
        <f t="shared" si="3"/>
        <v>1324.3500000000001</v>
      </c>
      <c r="S130" s="62">
        <f t="shared" si="4"/>
        <v>2.4525000000000001</v>
      </c>
      <c r="T130" s="25"/>
    </row>
    <row r="131" spans="1:23" s="8" customFormat="1" ht="45">
      <c r="A131" s="3">
        <v>130</v>
      </c>
      <c r="B131" s="50" t="s">
        <v>127</v>
      </c>
      <c r="C131" s="50" t="s">
        <v>141</v>
      </c>
      <c r="D131" s="51">
        <v>12.6</v>
      </c>
      <c r="E131" s="51">
        <v>12.6</v>
      </c>
      <c r="F131" s="51">
        <v>13.4</v>
      </c>
      <c r="G131" s="51">
        <v>10.25</v>
      </c>
      <c r="H131" s="25">
        <v>160</v>
      </c>
      <c r="I131" s="25">
        <v>94</v>
      </c>
      <c r="J131" s="52">
        <f t="shared" si="5"/>
        <v>0.58888888888888891</v>
      </c>
      <c r="K131" s="25">
        <v>200</v>
      </c>
      <c r="L131" s="53">
        <f t="shared" si="6"/>
        <v>117.77777777777779</v>
      </c>
      <c r="M131" s="54">
        <f t="shared" si="7"/>
        <v>0.58888888888888891</v>
      </c>
      <c r="N131" s="53">
        <v>450</v>
      </c>
      <c r="O131" s="53">
        <v>265</v>
      </c>
      <c r="P131" s="54">
        <v>0.58888888888888891</v>
      </c>
      <c r="Q131" s="60">
        <f t="shared" ref="Q131:Q171" si="9">N131</f>
        <v>450</v>
      </c>
      <c r="R131" s="61">
        <f t="shared" ref="R131:R171" si="10">O131*1.09</f>
        <v>288.85000000000002</v>
      </c>
      <c r="S131" s="62">
        <f t="shared" ref="S131:S171" si="11">R131/Q131</f>
        <v>0.64188888888888895</v>
      </c>
      <c r="T131" s="25"/>
    </row>
    <row r="132" spans="1:23" s="8" customFormat="1" ht="45">
      <c r="A132" s="3">
        <v>131</v>
      </c>
      <c r="B132" s="50" t="s">
        <v>127</v>
      </c>
      <c r="C132" s="50" t="s">
        <v>142</v>
      </c>
      <c r="D132" s="51">
        <v>12.05</v>
      </c>
      <c r="E132" s="51">
        <v>12.05</v>
      </c>
      <c r="F132" s="51">
        <v>14.7</v>
      </c>
      <c r="G132" s="51">
        <v>9</v>
      </c>
      <c r="H132" s="25">
        <v>160</v>
      </c>
      <c r="I132" s="25">
        <v>88</v>
      </c>
      <c r="J132" s="52">
        <f t="shared" si="5"/>
        <v>0.54666666666666663</v>
      </c>
      <c r="K132" s="25">
        <v>160</v>
      </c>
      <c r="L132" s="53">
        <f t="shared" si="6"/>
        <v>87.466666666666669</v>
      </c>
      <c r="M132" s="54">
        <f t="shared" si="7"/>
        <v>0.54666666666666663</v>
      </c>
      <c r="N132" s="53">
        <v>450</v>
      </c>
      <c r="O132" s="53">
        <v>246</v>
      </c>
      <c r="P132" s="54">
        <v>0.54666666666666663</v>
      </c>
      <c r="Q132" s="60">
        <f t="shared" si="9"/>
        <v>450</v>
      </c>
      <c r="R132" s="61">
        <f t="shared" si="10"/>
        <v>268.14000000000004</v>
      </c>
      <c r="S132" s="62">
        <f t="shared" si="11"/>
        <v>0.59586666666666677</v>
      </c>
      <c r="T132" s="25"/>
    </row>
    <row r="133" spans="1:23" s="8" customFormat="1" ht="45">
      <c r="A133" s="3">
        <v>132</v>
      </c>
      <c r="B133" s="50" t="s">
        <v>127</v>
      </c>
      <c r="C133" s="50" t="s">
        <v>143</v>
      </c>
      <c r="D133" s="51">
        <v>14.6</v>
      </c>
      <c r="E133" s="51">
        <v>14.6</v>
      </c>
      <c r="F133" s="51">
        <v>15.35</v>
      </c>
      <c r="G133" s="51">
        <v>14.5</v>
      </c>
      <c r="H133" s="25">
        <v>460</v>
      </c>
      <c r="I133" s="25">
        <v>601</v>
      </c>
      <c r="J133" s="52">
        <f t="shared" si="5"/>
        <v>1.3066666666666666</v>
      </c>
      <c r="K133" s="25">
        <v>500</v>
      </c>
      <c r="L133" s="53">
        <f t="shared" si="6"/>
        <v>653.33333333333337</v>
      </c>
      <c r="M133" s="54">
        <f t="shared" si="7"/>
        <v>1.3066666666666666</v>
      </c>
      <c r="N133" s="53">
        <v>675</v>
      </c>
      <c r="O133" s="53">
        <v>882</v>
      </c>
      <c r="P133" s="54">
        <v>1.3066666666666666</v>
      </c>
      <c r="Q133" s="60">
        <f t="shared" si="9"/>
        <v>675</v>
      </c>
      <c r="R133" s="61">
        <f t="shared" si="10"/>
        <v>961.38000000000011</v>
      </c>
      <c r="S133" s="62">
        <f t="shared" si="11"/>
        <v>1.4242666666666668</v>
      </c>
      <c r="T133" s="25"/>
    </row>
    <row r="134" spans="1:23" s="8" customFormat="1" ht="45">
      <c r="A134" s="3">
        <v>133</v>
      </c>
      <c r="B134" s="50" t="s">
        <v>127</v>
      </c>
      <c r="C134" s="50" t="s">
        <v>144</v>
      </c>
      <c r="D134" s="51">
        <v>17.7</v>
      </c>
      <c r="E134" s="51">
        <v>17.7</v>
      </c>
      <c r="F134" s="51">
        <v>18.100000000000001</v>
      </c>
      <c r="G134" s="51">
        <v>19.25</v>
      </c>
      <c r="H134" s="25">
        <v>450</v>
      </c>
      <c r="I134" s="25">
        <v>884</v>
      </c>
      <c r="J134" s="52">
        <f t="shared" si="5"/>
        <v>1.9636363636363636</v>
      </c>
      <c r="K134" s="25">
        <v>420</v>
      </c>
      <c r="L134" s="53">
        <f t="shared" si="6"/>
        <v>824.72727272727275</v>
      </c>
      <c r="M134" s="54">
        <f t="shared" si="7"/>
        <v>1.9636363636363636</v>
      </c>
      <c r="N134" s="53">
        <v>495</v>
      </c>
      <c r="O134" s="53">
        <v>972</v>
      </c>
      <c r="P134" s="54">
        <v>1.9636363636363636</v>
      </c>
      <c r="Q134" s="60">
        <f t="shared" si="9"/>
        <v>495</v>
      </c>
      <c r="R134" s="61">
        <f t="shared" si="10"/>
        <v>1059.48</v>
      </c>
      <c r="S134" s="62">
        <f t="shared" si="11"/>
        <v>2.1403636363636362</v>
      </c>
      <c r="T134" s="25"/>
    </row>
    <row r="135" spans="1:23" s="8" customFormat="1" ht="45">
      <c r="A135" s="3">
        <v>134</v>
      </c>
      <c r="B135" s="50" t="s">
        <v>127</v>
      </c>
      <c r="C135" s="50" t="s">
        <v>145</v>
      </c>
      <c r="D135" s="51">
        <v>16.25</v>
      </c>
      <c r="E135" s="51">
        <v>16.25</v>
      </c>
      <c r="F135" s="51">
        <v>17.25</v>
      </c>
      <c r="G135" s="51">
        <v>15.5</v>
      </c>
      <c r="H135" s="25">
        <v>490</v>
      </c>
      <c r="I135" s="25">
        <v>776</v>
      </c>
      <c r="J135" s="52">
        <f t="shared" si="5"/>
        <v>1.584313725490196</v>
      </c>
      <c r="K135" s="25">
        <v>400</v>
      </c>
      <c r="L135" s="53">
        <f t="shared" si="6"/>
        <v>633.72549019607845</v>
      </c>
      <c r="M135" s="54">
        <f t="shared" si="7"/>
        <v>1.584313725490196</v>
      </c>
      <c r="N135" s="53">
        <v>765</v>
      </c>
      <c r="O135" s="53">
        <v>1212</v>
      </c>
      <c r="P135" s="54">
        <v>1.584313725490196</v>
      </c>
      <c r="Q135" s="60">
        <f t="shared" si="9"/>
        <v>765</v>
      </c>
      <c r="R135" s="61">
        <f t="shared" si="10"/>
        <v>1321.0800000000002</v>
      </c>
      <c r="S135" s="62">
        <f t="shared" si="11"/>
        <v>1.7269019607843139</v>
      </c>
      <c r="T135" s="25"/>
    </row>
    <row r="136" spans="1:23" s="8" customFormat="1" ht="45">
      <c r="A136" s="3">
        <v>135</v>
      </c>
      <c r="B136" s="50" t="s">
        <v>127</v>
      </c>
      <c r="C136" s="50" t="s">
        <v>146</v>
      </c>
      <c r="D136" s="51">
        <v>16.899999999999999</v>
      </c>
      <c r="E136" s="51">
        <v>16.899999999999999</v>
      </c>
      <c r="F136" s="51">
        <v>17.350000000000001</v>
      </c>
      <c r="G136" s="51">
        <v>18.5</v>
      </c>
      <c r="H136" s="25">
        <v>720</v>
      </c>
      <c r="I136" s="25">
        <v>1324</v>
      </c>
      <c r="J136" s="52">
        <f t="shared" si="5"/>
        <v>1.8395061728395061</v>
      </c>
      <c r="K136" s="25">
        <v>675</v>
      </c>
      <c r="L136" s="53">
        <f t="shared" si="6"/>
        <v>1241.6666666666667</v>
      </c>
      <c r="M136" s="54">
        <f t="shared" si="7"/>
        <v>1.8395061728395061</v>
      </c>
      <c r="N136" s="53">
        <v>810</v>
      </c>
      <c r="O136" s="53">
        <v>1490</v>
      </c>
      <c r="P136" s="54">
        <v>1.8395061728395061</v>
      </c>
      <c r="Q136" s="60">
        <f t="shared" si="9"/>
        <v>810</v>
      </c>
      <c r="R136" s="61">
        <f t="shared" si="10"/>
        <v>1624.1000000000001</v>
      </c>
      <c r="S136" s="62">
        <f t="shared" si="11"/>
        <v>2.005061728395062</v>
      </c>
      <c r="T136" s="25"/>
    </row>
    <row r="137" spans="1:23" s="8" customFormat="1" ht="45">
      <c r="A137" s="3">
        <v>136</v>
      </c>
      <c r="B137" s="50" t="s">
        <v>127</v>
      </c>
      <c r="C137" s="50" t="s">
        <v>147</v>
      </c>
      <c r="D137" s="51">
        <v>10.9</v>
      </c>
      <c r="E137" s="51">
        <v>10.9</v>
      </c>
      <c r="F137" s="51">
        <v>13.95</v>
      </c>
      <c r="G137" s="51">
        <v>11.75</v>
      </c>
      <c r="H137" s="25">
        <v>300</v>
      </c>
      <c r="I137" s="25">
        <v>276</v>
      </c>
      <c r="J137" s="52">
        <f t="shared" si="5"/>
        <v>0.92222222222222228</v>
      </c>
      <c r="K137" s="25">
        <v>240</v>
      </c>
      <c r="L137" s="53">
        <f t="shared" si="6"/>
        <v>221.33333333333334</v>
      </c>
      <c r="M137" s="54">
        <f t="shared" si="7"/>
        <v>0.92222222222222228</v>
      </c>
      <c r="N137" s="53">
        <v>270</v>
      </c>
      <c r="O137" s="53">
        <v>249</v>
      </c>
      <c r="P137" s="54">
        <v>0.92222222222222228</v>
      </c>
      <c r="Q137" s="60">
        <f t="shared" si="9"/>
        <v>270</v>
      </c>
      <c r="R137" s="61">
        <f t="shared" si="10"/>
        <v>271.41000000000003</v>
      </c>
      <c r="S137" s="62">
        <f t="shared" si="11"/>
        <v>1.0052222222222222</v>
      </c>
      <c r="T137" s="25"/>
    </row>
    <row r="138" spans="1:23" s="8" customFormat="1" ht="45">
      <c r="A138" s="3">
        <v>137</v>
      </c>
      <c r="B138" s="50" t="s">
        <v>127</v>
      </c>
      <c r="C138" s="50" t="s">
        <v>148</v>
      </c>
      <c r="D138" s="51">
        <v>13.35</v>
      </c>
      <c r="E138" s="51">
        <v>13.35</v>
      </c>
      <c r="F138" s="51">
        <v>15.05</v>
      </c>
      <c r="G138" s="51">
        <v>15.25</v>
      </c>
      <c r="H138" s="25">
        <v>765</v>
      </c>
      <c r="I138" s="25">
        <v>1494</v>
      </c>
      <c r="J138" s="52">
        <f t="shared" si="5"/>
        <v>1.9538461538461538</v>
      </c>
      <c r="K138" s="25">
        <v>585</v>
      </c>
      <c r="L138" s="53">
        <f t="shared" si="6"/>
        <v>1143</v>
      </c>
      <c r="M138" s="54">
        <f t="shared" si="7"/>
        <v>1.9538461538461538</v>
      </c>
      <c r="N138" s="53">
        <v>585</v>
      </c>
      <c r="O138" s="53">
        <v>1143</v>
      </c>
      <c r="P138" s="54">
        <v>1.9538461538461538</v>
      </c>
      <c r="Q138" s="60">
        <f t="shared" si="9"/>
        <v>585</v>
      </c>
      <c r="R138" s="61">
        <f t="shared" si="10"/>
        <v>1245.8700000000001</v>
      </c>
      <c r="S138" s="62">
        <f t="shared" si="11"/>
        <v>2.129692307692308</v>
      </c>
      <c r="T138" s="25"/>
    </row>
    <row r="139" spans="1:23" s="8" customFormat="1" ht="45">
      <c r="A139" s="3">
        <v>138</v>
      </c>
      <c r="B139" s="50" t="s">
        <v>127</v>
      </c>
      <c r="C139" s="50" t="s">
        <v>149</v>
      </c>
      <c r="D139" s="51">
        <v>12.15</v>
      </c>
      <c r="E139" s="51">
        <v>12.15</v>
      </c>
      <c r="F139" s="51">
        <v>12.75</v>
      </c>
      <c r="G139" s="51">
        <v>12</v>
      </c>
      <c r="H139" s="25">
        <v>210</v>
      </c>
      <c r="I139" s="25">
        <v>250</v>
      </c>
      <c r="J139" s="52">
        <f t="shared" si="5"/>
        <v>1.1888888888888889</v>
      </c>
      <c r="K139" s="25">
        <v>210</v>
      </c>
      <c r="L139" s="53">
        <f t="shared" si="6"/>
        <v>249.66666666666666</v>
      </c>
      <c r="M139" s="54">
        <f t="shared" si="7"/>
        <v>1.1888888888888889</v>
      </c>
      <c r="N139" s="53">
        <v>270</v>
      </c>
      <c r="O139" s="53">
        <v>321</v>
      </c>
      <c r="P139" s="54">
        <v>1.1888888888888889</v>
      </c>
      <c r="Q139" s="60">
        <f t="shared" si="9"/>
        <v>270</v>
      </c>
      <c r="R139" s="61">
        <f t="shared" si="10"/>
        <v>349.89000000000004</v>
      </c>
      <c r="S139" s="62">
        <f t="shared" si="11"/>
        <v>1.2958888888888891</v>
      </c>
      <c r="T139" s="25"/>
    </row>
    <row r="140" spans="1:23" s="8" customFormat="1" ht="45">
      <c r="A140" s="3">
        <v>139</v>
      </c>
      <c r="B140" s="50" t="s">
        <v>127</v>
      </c>
      <c r="C140" s="50" t="s">
        <v>26</v>
      </c>
      <c r="D140" s="51">
        <v>20.2</v>
      </c>
      <c r="E140" s="51">
        <v>20.2</v>
      </c>
      <c r="F140" s="51">
        <v>19.05</v>
      </c>
      <c r="G140" s="51">
        <v>20.25</v>
      </c>
      <c r="H140" s="25">
        <v>670</v>
      </c>
      <c r="I140" s="25">
        <v>1209</v>
      </c>
      <c r="J140" s="52">
        <f t="shared" si="5"/>
        <v>1.8046783625730993</v>
      </c>
      <c r="K140" s="25">
        <v>675</v>
      </c>
      <c r="L140" s="53">
        <f t="shared" si="6"/>
        <v>1218.1578947368421</v>
      </c>
      <c r="M140" s="54">
        <f t="shared" si="7"/>
        <v>1.8046783625730993</v>
      </c>
      <c r="N140" s="53">
        <v>855</v>
      </c>
      <c r="O140" s="53">
        <v>1543</v>
      </c>
      <c r="P140" s="54">
        <v>1.8046783625730993</v>
      </c>
      <c r="Q140" s="60">
        <f t="shared" si="9"/>
        <v>855</v>
      </c>
      <c r="R140" s="61">
        <f t="shared" si="10"/>
        <v>1681.8700000000001</v>
      </c>
      <c r="S140" s="62">
        <f t="shared" si="11"/>
        <v>1.9670994152046786</v>
      </c>
      <c r="T140" s="25"/>
    </row>
    <row r="141" spans="1:23" s="8" customFormat="1" ht="45">
      <c r="A141" s="3">
        <v>140</v>
      </c>
      <c r="B141" s="50" t="s">
        <v>127</v>
      </c>
      <c r="C141" s="50" t="s">
        <v>150</v>
      </c>
      <c r="D141" s="51">
        <v>13.95</v>
      </c>
      <c r="E141" s="51">
        <v>13.95</v>
      </c>
      <c r="F141" s="51">
        <v>14.95</v>
      </c>
      <c r="G141" s="51">
        <v>12</v>
      </c>
      <c r="H141" s="25">
        <v>160</v>
      </c>
      <c r="I141" s="25">
        <v>149</v>
      </c>
      <c r="J141" s="52">
        <f t="shared" si="5"/>
        <v>0.93333333333333335</v>
      </c>
      <c r="K141" s="25">
        <v>160</v>
      </c>
      <c r="L141" s="53">
        <f t="shared" si="6"/>
        <v>149.33333333333334</v>
      </c>
      <c r="M141" s="54">
        <f t="shared" si="7"/>
        <v>0.93333333333333335</v>
      </c>
      <c r="N141" s="53">
        <v>240</v>
      </c>
      <c r="O141" s="53">
        <v>224</v>
      </c>
      <c r="P141" s="54">
        <v>0.93333333333333335</v>
      </c>
      <c r="Q141" s="60">
        <f t="shared" si="9"/>
        <v>240</v>
      </c>
      <c r="R141" s="61">
        <f t="shared" si="10"/>
        <v>244.16000000000003</v>
      </c>
      <c r="S141" s="62">
        <f t="shared" si="11"/>
        <v>1.0173333333333334</v>
      </c>
      <c r="T141" s="25"/>
    </row>
    <row r="142" spans="1:23" s="8" customFormat="1" ht="45">
      <c r="A142" s="3">
        <v>141</v>
      </c>
      <c r="B142" s="50" t="s">
        <v>127</v>
      </c>
      <c r="C142" s="50" t="s">
        <v>151</v>
      </c>
      <c r="D142" s="51">
        <v>13.65</v>
      </c>
      <c r="E142" s="51">
        <v>13.65</v>
      </c>
      <c r="F142" s="51">
        <v>13.85</v>
      </c>
      <c r="G142" s="51">
        <v>13.5</v>
      </c>
      <c r="H142" s="25">
        <v>220</v>
      </c>
      <c r="I142" s="25">
        <v>307</v>
      </c>
      <c r="J142" s="52">
        <f t="shared" si="5"/>
        <v>1.3955555555555557</v>
      </c>
      <c r="K142" s="25">
        <v>220</v>
      </c>
      <c r="L142" s="53">
        <f t="shared" si="6"/>
        <v>307.02222222222224</v>
      </c>
      <c r="M142" s="54">
        <f t="shared" si="7"/>
        <v>1.3955555555555557</v>
      </c>
      <c r="N142" s="53">
        <v>225</v>
      </c>
      <c r="O142" s="53">
        <v>314</v>
      </c>
      <c r="P142" s="54">
        <v>1.3955555555555557</v>
      </c>
      <c r="Q142" s="60">
        <f t="shared" si="9"/>
        <v>225</v>
      </c>
      <c r="R142" s="61">
        <f t="shared" si="10"/>
        <v>342.26000000000005</v>
      </c>
      <c r="S142" s="62">
        <f t="shared" si="11"/>
        <v>1.5211555555555558</v>
      </c>
      <c r="T142" s="25"/>
    </row>
    <row r="143" spans="1:23" s="18" customFormat="1" ht="45">
      <c r="A143" s="3">
        <v>142</v>
      </c>
      <c r="B143" s="14" t="s">
        <v>127</v>
      </c>
      <c r="C143" s="14" t="s">
        <v>152</v>
      </c>
      <c r="D143" s="15">
        <f>G143</f>
        <v>16.5</v>
      </c>
      <c r="E143" s="15">
        <f>D143</f>
        <v>16.5</v>
      </c>
      <c r="F143" s="15">
        <f>E143</f>
        <v>16.5</v>
      </c>
      <c r="G143" s="15">
        <v>16.5</v>
      </c>
      <c r="H143" s="16">
        <f>N143</f>
        <v>720</v>
      </c>
      <c r="I143" s="16">
        <f>H143</f>
        <v>720</v>
      </c>
      <c r="J143" s="17">
        <f>I143/H143</f>
        <v>1</v>
      </c>
      <c r="K143" s="16">
        <f>H143</f>
        <v>720</v>
      </c>
      <c r="L143" s="16">
        <f>K143</f>
        <v>720</v>
      </c>
      <c r="M143" s="17">
        <f>L143/K143</f>
        <v>1</v>
      </c>
      <c r="N143" s="16">
        <v>720</v>
      </c>
      <c r="O143" s="16">
        <f>N143</f>
        <v>720</v>
      </c>
      <c r="P143" s="17">
        <f>O143/N143</f>
        <v>1</v>
      </c>
      <c r="Q143" s="60">
        <f t="shared" si="9"/>
        <v>720</v>
      </c>
      <c r="R143" s="61">
        <f t="shared" si="10"/>
        <v>784.80000000000007</v>
      </c>
      <c r="S143" s="62">
        <f t="shared" si="11"/>
        <v>1.0900000000000001</v>
      </c>
      <c r="T143" s="49"/>
    </row>
    <row r="144" spans="1:23" s="8" customFormat="1" ht="45">
      <c r="A144" s="3">
        <v>143</v>
      </c>
      <c r="B144" s="1" t="s">
        <v>153</v>
      </c>
      <c r="C144" s="1" t="s">
        <v>154</v>
      </c>
      <c r="D144" s="2">
        <v>36.75</v>
      </c>
      <c r="E144" s="2">
        <v>22.05</v>
      </c>
      <c r="F144" s="2">
        <v>21.25</v>
      </c>
      <c r="G144" s="2">
        <v>21.75</v>
      </c>
      <c r="H144" s="5">
        <v>810</v>
      </c>
      <c r="I144" s="5">
        <v>599</v>
      </c>
      <c r="J144" s="6">
        <f>I144/H144</f>
        <v>0.73950617283950615</v>
      </c>
      <c r="K144" s="5">
        <v>720</v>
      </c>
      <c r="L144" s="5">
        <v>486</v>
      </c>
      <c r="M144" s="6">
        <f>L144/K144</f>
        <v>0.67500000000000004</v>
      </c>
      <c r="N144" s="5">
        <v>855</v>
      </c>
      <c r="O144" s="5">
        <v>1539</v>
      </c>
      <c r="P144" s="6">
        <v>1.8</v>
      </c>
      <c r="Q144" s="60">
        <f t="shared" si="9"/>
        <v>855</v>
      </c>
      <c r="R144" s="61">
        <f t="shared" si="10"/>
        <v>1677.5100000000002</v>
      </c>
      <c r="S144" s="62">
        <f t="shared" si="11"/>
        <v>1.9620000000000002</v>
      </c>
      <c r="T144" s="20"/>
      <c r="U144" s="24"/>
      <c r="V144" s="24"/>
      <c r="W144" s="24"/>
    </row>
    <row r="145" spans="1:23" s="8" customFormat="1" ht="45">
      <c r="A145" s="3">
        <v>144</v>
      </c>
      <c r="B145" s="1" t="s">
        <v>153</v>
      </c>
      <c r="C145" s="1" t="s">
        <v>155</v>
      </c>
      <c r="D145" s="2">
        <v>29.75</v>
      </c>
      <c r="E145" s="2">
        <v>17.850000000000001</v>
      </c>
      <c r="F145" s="2">
        <v>9</v>
      </c>
      <c r="G145" s="2">
        <v>18.5</v>
      </c>
      <c r="H145" s="5">
        <v>540</v>
      </c>
      <c r="I145" s="5">
        <v>532</v>
      </c>
      <c r="J145" s="6">
        <f>I145/H145</f>
        <v>0.98518518518518516</v>
      </c>
      <c r="K145" s="5">
        <v>495</v>
      </c>
      <c r="L145" s="5">
        <v>443</v>
      </c>
      <c r="M145" s="6">
        <f>L145/K145</f>
        <v>0.89494949494949494</v>
      </c>
      <c r="N145" s="5">
        <v>540</v>
      </c>
      <c r="O145" s="5">
        <v>774</v>
      </c>
      <c r="P145" s="6">
        <v>1.4333333333333333</v>
      </c>
      <c r="Q145" s="60">
        <f t="shared" si="9"/>
        <v>540</v>
      </c>
      <c r="R145" s="61">
        <f t="shared" si="10"/>
        <v>843.66000000000008</v>
      </c>
      <c r="S145" s="62">
        <f t="shared" si="11"/>
        <v>1.5623333333333336</v>
      </c>
      <c r="T145" s="25"/>
      <c r="U145" s="25"/>
      <c r="V145" s="25"/>
      <c r="W145" s="25"/>
    </row>
    <row r="146" spans="1:23" s="8" customFormat="1" ht="45">
      <c r="A146" s="3">
        <v>145</v>
      </c>
      <c r="B146" s="1" t="s">
        <v>153</v>
      </c>
      <c r="C146" s="1" t="s">
        <v>82</v>
      </c>
      <c r="D146" s="2">
        <v>22.75</v>
      </c>
      <c r="E146" s="2">
        <v>13.65</v>
      </c>
      <c r="F146" s="2">
        <v>7.75</v>
      </c>
      <c r="G146" s="2">
        <v>9</v>
      </c>
      <c r="H146" s="25">
        <v>368</v>
      </c>
      <c r="I146" s="25">
        <v>474</v>
      </c>
      <c r="J146" s="6">
        <f t="shared" ref="J146:J170" si="12">I146/H146</f>
        <v>1.2880434782608696</v>
      </c>
      <c r="K146" s="25">
        <v>360</v>
      </c>
      <c r="L146" s="25">
        <v>366</v>
      </c>
      <c r="M146" s="6">
        <f t="shared" ref="M146:M170" si="13">L146/K146</f>
        <v>1.0166666666666666</v>
      </c>
      <c r="N146" s="5">
        <v>450</v>
      </c>
      <c r="O146" s="5">
        <v>481</v>
      </c>
      <c r="P146" s="6">
        <v>1.068888888888889</v>
      </c>
      <c r="Q146" s="60">
        <f t="shared" si="9"/>
        <v>450</v>
      </c>
      <c r="R146" s="61">
        <f t="shared" si="10"/>
        <v>524.29000000000008</v>
      </c>
      <c r="S146" s="62">
        <f t="shared" si="11"/>
        <v>1.1650888888888891</v>
      </c>
      <c r="T146" s="25"/>
      <c r="U146" s="25"/>
      <c r="V146" s="25"/>
      <c r="W146" s="25"/>
    </row>
    <row r="147" spans="1:23" s="8" customFormat="1" ht="45">
      <c r="A147" s="3">
        <v>146</v>
      </c>
      <c r="B147" s="1" t="s">
        <v>153</v>
      </c>
      <c r="C147" s="1" t="s">
        <v>156</v>
      </c>
      <c r="D147" s="2">
        <v>25.25</v>
      </c>
      <c r="E147" s="2">
        <v>15.15</v>
      </c>
      <c r="F147" s="2">
        <v>15.25</v>
      </c>
      <c r="G147" s="2">
        <v>12.25</v>
      </c>
      <c r="H147" s="25">
        <v>360</v>
      </c>
      <c r="I147" s="25">
        <v>365</v>
      </c>
      <c r="J147" s="6">
        <f t="shared" si="12"/>
        <v>1.0138888888888888</v>
      </c>
      <c r="K147" s="25">
        <v>315</v>
      </c>
      <c r="L147" s="25">
        <v>330</v>
      </c>
      <c r="M147" s="6">
        <f t="shared" si="13"/>
        <v>1.0476190476190477</v>
      </c>
      <c r="N147" s="5">
        <v>450</v>
      </c>
      <c r="O147" s="5">
        <v>539</v>
      </c>
      <c r="P147" s="6">
        <v>1.1977777777777778</v>
      </c>
      <c r="Q147" s="60">
        <f t="shared" si="9"/>
        <v>450</v>
      </c>
      <c r="R147" s="61">
        <f t="shared" si="10"/>
        <v>587.51</v>
      </c>
      <c r="S147" s="62">
        <f t="shared" si="11"/>
        <v>1.3055777777777777</v>
      </c>
      <c r="T147" s="25"/>
      <c r="U147" s="25"/>
      <c r="V147" s="25"/>
      <c r="W147" s="25"/>
    </row>
    <row r="148" spans="1:23" s="8" customFormat="1" ht="45">
      <c r="A148" s="3">
        <v>147</v>
      </c>
      <c r="B148" s="1" t="s">
        <v>153</v>
      </c>
      <c r="C148" s="1" t="s">
        <v>157</v>
      </c>
      <c r="D148" s="2">
        <v>27.75</v>
      </c>
      <c r="E148" s="2">
        <v>16.649999999999999</v>
      </c>
      <c r="F148" s="2">
        <v>6.5</v>
      </c>
      <c r="G148" s="2">
        <v>11.5</v>
      </c>
      <c r="H148" s="25">
        <v>810</v>
      </c>
      <c r="I148" s="25">
        <v>993</v>
      </c>
      <c r="J148" s="6">
        <f t="shared" si="12"/>
        <v>1.2259259259259259</v>
      </c>
      <c r="K148" s="25">
        <v>921</v>
      </c>
      <c r="L148" s="25">
        <v>882</v>
      </c>
      <c r="M148" s="6">
        <f t="shared" si="13"/>
        <v>0.95765472312703581</v>
      </c>
      <c r="N148" s="5">
        <v>900</v>
      </c>
      <c r="O148" s="5">
        <v>1665</v>
      </c>
      <c r="P148" s="6">
        <v>1.85</v>
      </c>
      <c r="Q148" s="60">
        <f t="shared" si="9"/>
        <v>900</v>
      </c>
      <c r="R148" s="61">
        <f t="shared" si="10"/>
        <v>1814.8500000000001</v>
      </c>
      <c r="S148" s="62">
        <f t="shared" si="11"/>
        <v>2.0165000000000002</v>
      </c>
      <c r="T148" s="25"/>
      <c r="U148" s="25"/>
      <c r="V148" s="25"/>
      <c r="W148" s="25"/>
    </row>
    <row r="149" spans="1:23" s="8" customFormat="1" ht="45">
      <c r="A149" s="3">
        <v>148</v>
      </c>
      <c r="B149" s="1" t="s">
        <v>153</v>
      </c>
      <c r="C149" s="1" t="s">
        <v>76</v>
      </c>
      <c r="D149" s="2">
        <v>20.75</v>
      </c>
      <c r="E149" s="2">
        <v>12.45</v>
      </c>
      <c r="F149" s="2">
        <v>10.5</v>
      </c>
      <c r="G149" s="2">
        <v>11.5</v>
      </c>
      <c r="H149" s="25">
        <v>690</v>
      </c>
      <c r="I149" s="25">
        <v>789</v>
      </c>
      <c r="J149" s="6">
        <f t="shared" si="12"/>
        <v>1.1434782608695653</v>
      </c>
      <c r="K149" s="25">
        <v>585</v>
      </c>
      <c r="L149" s="25">
        <v>682</v>
      </c>
      <c r="M149" s="6">
        <f t="shared" si="13"/>
        <v>1.1658119658119659</v>
      </c>
      <c r="N149" s="5">
        <v>585</v>
      </c>
      <c r="O149" s="5">
        <v>768</v>
      </c>
      <c r="P149" s="6">
        <v>1.3128205128205128</v>
      </c>
      <c r="Q149" s="60">
        <f t="shared" si="9"/>
        <v>585</v>
      </c>
      <c r="R149" s="61">
        <f t="shared" si="10"/>
        <v>837.12000000000012</v>
      </c>
      <c r="S149" s="62">
        <f t="shared" si="11"/>
        <v>1.4309743589743591</v>
      </c>
      <c r="T149" s="25"/>
      <c r="U149" s="25"/>
      <c r="V149" s="25"/>
      <c r="W149" s="25"/>
    </row>
    <row r="150" spans="1:23" s="8" customFormat="1" ht="45">
      <c r="A150" s="3">
        <v>149</v>
      </c>
      <c r="B150" s="1" t="s">
        <v>153</v>
      </c>
      <c r="C150" s="1" t="s">
        <v>158</v>
      </c>
      <c r="D150" s="2">
        <v>22</v>
      </c>
      <c r="E150" s="2">
        <v>13.2</v>
      </c>
      <c r="F150" s="2">
        <v>10</v>
      </c>
      <c r="G150" s="2">
        <v>9</v>
      </c>
      <c r="H150" s="25">
        <v>675</v>
      </c>
      <c r="I150" s="25">
        <v>772</v>
      </c>
      <c r="J150" s="6">
        <f t="shared" si="12"/>
        <v>1.1437037037037037</v>
      </c>
      <c r="K150" s="25">
        <v>585</v>
      </c>
      <c r="L150" s="25">
        <v>678</v>
      </c>
      <c r="M150" s="6">
        <f t="shared" si="13"/>
        <v>1.1589743589743591</v>
      </c>
      <c r="N150" s="5">
        <v>630</v>
      </c>
      <c r="O150" s="5">
        <v>671</v>
      </c>
      <c r="P150" s="6">
        <v>1.0650793650793651</v>
      </c>
      <c r="Q150" s="60">
        <f t="shared" si="9"/>
        <v>630</v>
      </c>
      <c r="R150" s="61">
        <f t="shared" si="10"/>
        <v>731.3900000000001</v>
      </c>
      <c r="S150" s="62">
        <f t="shared" si="11"/>
        <v>1.1609365079365082</v>
      </c>
      <c r="T150" s="25"/>
      <c r="U150" s="25"/>
      <c r="V150" s="25"/>
      <c r="W150" s="25"/>
    </row>
    <row r="151" spans="1:23" s="8" customFormat="1" ht="45">
      <c r="A151" s="3">
        <v>150</v>
      </c>
      <c r="B151" s="1" t="s">
        <v>153</v>
      </c>
      <c r="C151" s="1" t="s">
        <v>159</v>
      </c>
      <c r="D151" s="2">
        <v>22.75</v>
      </c>
      <c r="E151" s="2">
        <v>13.65</v>
      </c>
      <c r="F151" s="2">
        <v>8</v>
      </c>
      <c r="G151" s="2">
        <v>10.75</v>
      </c>
      <c r="H151" s="25">
        <v>396</v>
      </c>
      <c r="I151" s="25">
        <v>495</v>
      </c>
      <c r="J151" s="6">
        <f t="shared" si="12"/>
        <v>1.25</v>
      </c>
      <c r="K151" s="25">
        <v>410</v>
      </c>
      <c r="L151" s="25">
        <v>390</v>
      </c>
      <c r="M151" s="6">
        <f t="shared" si="13"/>
        <v>0.95121951219512191</v>
      </c>
      <c r="N151" s="5">
        <v>450</v>
      </c>
      <c r="O151" s="5">
        <v>549</v>
      </c>
      <c r="P151" s="6">
        <v>1.22</v>
      </c>
      <c r="Q151" s="60">
        <f t="shared" si="9"/>
        <v>450</v>
      </c>
      <c r="R151" s="61">
        <f t="shared" si="10"/>
        <v>598.41000000000008</v>
      </c>
      <c r="S151" s="62">
        <f t="shared" si="11"/>
        <v>1.3298000000000001</v>
      </c>
      <c r="T151" s="25"/>
      <c r="U151" s="25"/>
      <c r="V151" s="25"/>
      <c r="W151" s="25"/>
    </row>
    <row r="152" spans="1:23" s="8" customFormat="1" ht="45">
      <c r="A152" s="3">
        <v>151</v>
      </c>
      <c r="B152" s="1" t="s">
        <v>153</v>
      </c>
      <c r="C152" s="1" t="s">
        <v>69</v>
      </c>
      <c r="D152" s="2">
        <v>22.25</v>
      </c>
      <c r="E152" s="2">
        <v>13.35</v>
      </c>
      <c r="F152" s="2">
        <v>11.75</v>
      </c>
      <c r="G152" s="2">
        <v>11</v>
      </c>
      <c r="H152" s="25">
        <v>440</v>
      </c>
      <c r="I152" s="25">
        <v>508</v>
      </c>
      <c r="J152" s="6">
        <f t="shared" si="12"/>
        <v>1.1545454545454545</v>
      </c>
      <c r="K152" s="25">
        <v>410</v>
      </c>
      <c r="L152" s="25">
        <v>449</v>
      </c>
      <c r="M152" s="6">
        <f t="shared" si="13"/>
        <v>1.0951219512195123</v>
      </c>
      <c r="N152" s="5">
        <v>495</v>
      </c>
      <c r="O152" s="5">
        <v>613</v>
      </c>
      <c r="P152" s="6">
        <v>1.2383838383838384</v>
      </c>
      <c r="Q152" s="60">
        <f t="shared" si="9"/>
        <v>495</v>
      </c>
      <c r="R152" s="61">
        <f t="shared" si="10"/>
        <v>668.17000000000007</v>
      </c>
      <c r="S152" s="62">
        <f t="shared" si="11"/>
        <v>1.3498383838383841</v>
      </c>
      <c r="T152" s="25"/>
      <c r="U152" s="25"/>
      <c r="V152" s="25"/>
      <c r="W152" s="25"/>
    </row>
    <row r="153" spans="1:23" s="8" customFormat="1" ht="45">
      <c r="A153" s="3">
        <v>152</v>
      </c>
      <c r="B153" s="1" t="s">
        <v>153</v>
      </c>
      <c r="C153" s="1" t="s">
        <v>160</v>
      </c>
      <c r="D153" s="2">
        <v>21.75</v>
      </c>
      <c r="E153" s="2">
        <v>13.05</v>
      </c>
      <c r="F153" s="2">
        <v>10.25</v>
      </c>
      <c r="G153" s="2">
        <v>10.25</v>
      </c>
      <c r="H153" s="25">
        <v>315</v>
      </c>
      <c r="I153" s="25">
        <v>360</v>
      </c>
      <c r="J153" s="6">
        <f t="shared" si="12"/>
        <v>1.1428571428571428</v>
      </c>
      <c r="K153" s="25">
        <v>300</v>
      </c>
      <c r="L153" s="25">
        <v>345</v>
      </c>
      <c r="M153" s="6">
        <f t="shared" si="13"/>
        <v>1.1499999999999999</v>
      </c>
      <c r="N153" s="5">
        <v>405</v>
      </c>
      <c r="O153" s="5">
        <v>522</v>
      </c>
      <c r="P153" s="6">
        <v>1.288888888888889</v>
      </c>
      <c r="Q153" s="60">
        <f t="shared" si="9"/>
        <v>405</v>
      </c>
      <c r="R153" s="61">
        <f t="shared" si="10"/>
        <v>568.98</v>
      </c>
      <c r="S153" s="62">
        <f t="shared" si="11"/>
        <v>1.4048888888888889</v>
      </c>
      <c r="T153" s="25"/>
      <c r="U153" s="25"/>
      <c r="V153" s="25"/>
      <c r="W153" s="25"/>
    </row>
    <row r="154" spans="1:23" s="8" customFormat="1" ht="45">
      <c r="A154" s="3">
        <v>153</v>
      </c>
      <c r="B154" s="1" t="s">
        <v>153</v>
      </c>
      <c r="C154" s="1" t="s">
        <v>161</v>
      </c>
      <c r="D154" s="2">
        <v>22.25</v>
      </c>
      <c r="E154" s="2">
        <v>13.35</v>
      </c>
      <c r="F154" s="2">
        <v>11</v>
      </c>
      <c r="G154" s="2">
        <v>10.25</v>
      </c>
      <c r="H154" s="25">
        <v>495</v>
      </c>
      <c r="I154" s="25">
        <v>678</v>
      </c>
      <c r="J154" s="6">
        <f t="shared" si="12"/>
        <v>1.3696969696969696</v>
      </c>
      <c r="K154" s="25">
        <v>430</v>
      </c>
      <c r="L154" s="25">
        <v>581</v>
      </c>
      <c r="M154" s="6">
        <f t="shared" si="13"/>
        <v>1.3511627906976744</v>
      </c>
      <c r="N154" s="5">
        <v>585</v>
      </c>
      <c r="O154" s="5">
        <v>469</v>
      </c>
      <c r="P154" s="6">
        <v>0.80170940170940175</v>
      </c>
      <c r="Q154" s="60">
        <f t="shared" si="9"/>
        <v>585</v>
      </c>
      <c r="R154" s="61">
        <f t="shared" si="10"/>
        <v>511.21000000000004</v>
      </c>
      <c r="S154" s="62">
        <f t="shared" si="11"/>
        <v>0.87386324786324787</v>
      </c>
      <c r="T154" s="25"/>
      <c r="U154" s="25"/>
      <c r="V154" s="25"/>
      <c r="W154" s="25"/>
    </row>
    <row r="155" spans="1:23" s="8" customFormat="1" ht="45">
      <c r="A155" s="3">
        <v>154</v>
      </c>
      <c r="B155" s="1" t="s">
        <v>153</v>
      </c>
      <c r="C155" s="1" t="s">
        <v>30</v>
      </c>
      <c r="D155" s="2">
        <v>22.75</v>
      </c>
      <c r="E155" s="2">
        <v>13.65</v>
      </c>
      <c r="F155" s="2">
        <v>9.25</v>
      </c>
      <c r="G155" s="2">
        <v>10</v>
      </c>
      <c r="H155" s="25">
        <v>360</v>
      </c>
      <c r="I155" s="25">
        <v>417</v>
      </c>
      <c r="J155" s="6">
        <f t="shared" si="12"/>
        <v>1.1583333333333334</v>
      </c>
      <c r="K155" s="25">
        <v>320</v>
      </c>
      <c r="L155" s="25">
        <v>336</v>
      </c>
      <c r="M155" s="6">
        <f t="shared" si="13"/>
        <v>1.05</v>
      </c>
      <c r="N155" s="5">
        <v>405</v>
      </c>
      <c r="O155" s="5">
        <v>427</v>
      </c>
      <c r="P155" s="6">
        <v>1.0543209876543209</v>
      </c>
      <c r="Q155" s="60">
        <f t="shared" si="9"/>
        <v>405</v>
      </c>
      <c r="R155" s="61">
        <f t="shared" si="10"/>
        <v>465.43</v>
      </c>
      <c r="S155" s="62">
        <f t="shared" si="11"/>
        <v>1.1492098765432099</v>
      </c>
      <c r="T155" s="25"/>
      <c r="U155" s="25"/>
      <c r="V155" s="25"/>
      <c r="W155" s="25"/>
    </row>
    <row r="156" spans="1:23" s="8" customFormat="1" ht="45">
      <c r="A156" s="3">
        <v>155</v>
      </c>
      <c r="B156" s="1" t="s">
        <v>153</v>
      </c>
      <c r="C156" s="1" t="s">
        <v>162</v>
      </c>
      <c r="D156" s="2">
        <v>22.5</v>
      </c>
      <c r="E156" s="2">
        <v>13.5</v>
      </c>
      <c r="F156" s="2">
        <v>9.5</v>
      </c>
      <c r="G156" s="2">
        <v>9</v>
      </c>
      <c r="H156" s="25">
        <v>315</v>
      </c>
      <c r="I156" s="25">
        <v>444</v>
      </c>
      <c r="J156" s="6">
        <f t="shared" si="12"/>
        <v>1.4095238095238096</v>
      </c>
      <c r="K156" s="25">
        <v>300</v>
      </c>
      <c r="L156" s="25">
        <v>367</v>
      </c>
      <c r="M156" s="6">
        <f t="shared" si="13"/>
        <v>1.2233333333333334</v>
      </c>
      <c r="N156" s="5">
        <v>450</v>
      </c>
      <c r="O156" s="5">
        <v>428</v>
      </c>
      <c r="P156" s="6">
        <v>0.95111111111111113</v>
      </c>
      <c r="Q156" s="60">
        <f t="shared" si="9"/>
        <v>450</v>
      </c>
      <c r="R156" s="61">
        <f t="shared" si="10"/>
        <v>466.52000000000004</v>
      </c>
      <c r="S156" s="62">
        <f t="shared" si="11"/>
        <v>1.0367111111111111</v>
      </c>
      <c r="T156" s="25"/>
      <c r="U156" s="25"/>
      <c r="V156" s="25"/>
      <c r="W156" s="25"/>
    </row>
    <row r="157" spans="1:23" s="8" customFormat="1" ht="45">
      <c r="A157" s="3">
        <v>156</v>
      </c>
      <c r="B157" s="1" t="s">
        <v>153</v>
      </c>
      <c r="C157" s="1" t="s">
        <v>163</v>
      </c>
      <c r="D157" s="2">
        <v>19.5</v>
      </c>
      <c r="E157" s="2">
        <v>11.7</v>
      </c>
      <c r="F157" s="2">
        <v>12.5</v>
      </c>
      <c r="G157" s="2">
        <v>10.5</v>
      </c>
      <c r="H157" s="25">
        <v>360</v>
      </c>
      <c r="I157" s="25">
        <v>364</v>
      </c>
      <c r="J157" s="6">
        <f t="shared" si="12"/>
        <v>1.0111111111111111</v>
      </c>
      <c r="K157" s="25">
        <v>342</v>
      </c>
      <c r="L157" s="25">
        <v>369</v>
      </c>
      <c r="M157" s="6">
        <f t="shared" si="13"/>
        <v>1.0789473684210527</v>
      </c>
      <c r="N157" s="5">
        <v>495</v>
      </c>
      <c r="O157" s="5">
        <v>585</v>
      </c>
      <c r="P157" s="6">
        <v>1.1818181818181819</v>
      </c>
      <c r="Q157" s="60">
        <f t="shared" si="9"/>
        <v>495</v>
      </c>
      <c r="R157" s="61">
        <f t="shared" si="10"/>
        <v>637.65000000000009</v>
      </c>
      <c r="S157" s="62">
        <f t="shared" si="11"/>
        <v>1.2881818181818183</v>
      </c>
      <c r="T157" s="25"/>
      <c r="U157" s="25"/>
      <c r="V157" s="25"/>
      <c r="W157" s="25"/>
    </row>
    <row r="158" spans="1:23" s="8" customFormat="1" ht="45">
      <c r="A158" s="3">
        <v>157</v>
      </c>
      <c r="B158" s="1" t="s">
        <v>153</v>
      </c>
      <c r="C158" s="1" t="s">
        <v>112</v>
      </c>
      <c r="D158" s="2">
        <v>20.75</v>
      </c>
      <c r="E158" s="2">
        <v>12.45</v>
      </c>
      <c r="F158" s="2">
        <v>8.25</v>
      </c>
      <c r="G158" s="2">
        <v>9</v>
      </c>
      <c r="H158" s="25">
        <v>315</v>
      </c>
      <c r="I158" s="25">
        <v>421</v>
      </c>
      <c r="J158" s="6">
        <f t="shared" si="12"/>
        <v>1.3365079365079364</v>
      </c>
      <c r="K158" s="25">
        <v>308</v>
      </c>
      <c r="L158" s="25">
        <v>332</v>
      </c>
      <c r="M158" s="6">
        <f t="shared" si="13"/>
        <v>1.0779220779220779</v>
      </c>
      <c r="N158" s="5">
        <v>405</v>
      </c>
      <c r="O158" s="5">
        <v>337</v>
      </c>
      <c r="P158" s="6">
        <v>0.83209876543209882</v>
      </c>
      <c r="Q158" s="60">
        <f t="shared" si="9"/>
        <v>405</v>
      </c>
      <c r="R158" s="61">
        <f t="shared" si="10"/>
        <v>367.33000000000004</v>
      </c>
      <c r="S158" s="62">
        <f t="shared" si="11"/>
        <v>0.90698765432098771</v>
      </c>
      <c r="T158" s="25"/>
      <c r="U158" s="25"/>
      <c r="V158" s="25"/>
      <c r="W158" s="25"/>
    </row>
    <row r="159" spans="1:23" s="8" customFormat="1" ht="45">
      <c r="A159" s="3">
        <v>158</v>
      </c>
      <c r="B159" s="1" t="s">
        <v>153</v>
      </c>
      <c r="C159" s="1" t="s">
        <v>164</v>
      </c>
      <c r="D159" s="2">
        <v>28.5</v>
      </c>
      <c r="E159" s="2">
        <v>17.100000000000001</v>
      </c>
      <c r="F159" s="2">
        <v>14</v>
      </c>
      <c r="G159" s="2">
        <v>11.5</v>
      </c>
      <c r="H159" s="25">
        <v>396</v>
      </c>
      <c r="I159" s="25">
        <v>425</v>
      </c>
      <c r="J159" s="6">
        <f t="shared" si="12"/>
        <v>1.0732323232323233</v>
      </c>
      <c r="K159" s="25">
        <v>342</v>
      </c>
      <c r="L159" s="25">
        <v>336</v>
      </c>
      <c r="M159" s="6">
        <f t="shared" si="13"/>
        <v>0.98245614035087714</v>
      </c>
      <c r="N159" s="5">
        <v>495</v>
      </c>
      <c r="O159" s="5">
        <v>482</v>
      </c>
      <c r="P159" s="6">
        <v>0.97373737373737379</v>
      </c>
      <c r="Q159" s="60">
        <f t="shared" si="9"/>
        <v>495</v>
      </c>
      <c r="R159" s="61">
        <f t="shared" si="10"/>
        <v>525.38</v>
      </c>
      <c r="S159" s="62">
        <f t="shared" si="11"/>
        <v>1.0613737373737373</v>
      </c>
      <c r="T159" s="25"/>
      <c r="U159" s="25"/>
      <c r="V159" s="25"/>
      <c r="W159" s="25"/>
    </row>
    <row r="160" spans="1:23" s="8" customFormat="1" ht="45">
      <c r="A160" s="3">
        <v>159</v>
      </c>
      <c r="B160" s="1" t="s">
        <v>153</v>
      </c>
      <c r="C160" s="1" t="s">
        <v>55</v>
      </c>
      <c r="D160" s="2">
        <v>29.75</v>
      </c>
      <c r="E160" s="2">
        <v>17.850000000000001</v>
      </c>
      <c r="F160" s="2">
        <v>17.25</v>
      </c>
      <c r="G160" s="2">
        <v>15.75</v>
      </c>
      <c r="H160" s="25">
        <v>675</v>
      </c>
      <c r="I160" s="25">
        <v>1.177</v>
      </c>
      <c r="J160" s="6">
        <f t="shared" si="12"/>
        <v>1.7437037037037037E-3</v>
      </c>
      <c r="K160" s="25">
        <v>621</v>
      </c>
      <c r="L160" s="25">
        <v>859</v>
      </c>
      <c r="M160" s="6">
        <f t="shared" si="13"/>
        <v>1.3832528180354267</v>
      </c>
      <c r="N160" s="5">
        <v>765</v>
      </c>
      <c r="O160" s="5">
        <v>681</v>
      </c>
      <c r="P160" s="6">
        <v>0.8901960784313725</v>
      </c>
      <c r="Q160" s="60">
        <f t="shared" si="9"/>
        <v>765</v>
      </c>
      <c r="R160" s="61">
        <f t="shared" si="10"/>
        <v>742.29000000000008</v>
      </c>
      <c r="S160" s="62">
        <f t="shared" si="11"/>
        <v>0.97031372549019623</v>
      </c>
      <c r="T160" s="25"/>
      <c r="U160" s="25"/>
      <c r="V160" s="25"/>
      <c r="W160" s="25"/>
    </row>
    <row r="161" spans="1:23" s="8" customFormat="1" ht="45">
      <c r="A161" s="3">
        <v>160</v>
      </c>
      <c r="B161" s="1" t="s">
        <v>153</v>
      </c>
      <c r="C161" s="1" t="s">
        <v>50</v>
      </c>
      <c r="D161" s="2">
        <v>31.75</v>
      </c>
      <c r="E161" s="2">
        <v>19.05</v>
      </c>
      <c r="F161" s="2">
        <v>19</v>
      </c>
      <c r="G161" s="2">
        <v>19.25</v>
      </c>
      <c r="H161" s="25">
        <v>810</v>
      </c>
      <c r="I161" s="25">
        <v>773</v>
      </c>
      <c r="J161" s="6">
        <f t="shared" si="12"/>
        <v>0.95432098765432094</v>
      </c>
      <c r="K161" s="25">
        <v>675</v>
      </c>
      <c r="L161" s="25">
        <v>611</v>
      </c>
      <c r="M161" s="6">
        <f t="shared" si="13"/>
        <v>0.9051851851851852</v>
      </c>
      <c r="N161" s="5">
        <v>900</v>
      </c>
      <c r="O161" s="5">
        <v>1211</v>
      </c>
      <c r="P161" s="6">
        <v>1.3455555555555556</v>
      </c>
      <c r="Q161" s="60">
        <f t="shared" si="9"/>
        <v>900</v>
      </c>
      <c r="R161" s="61">
        <f t="shared" si="10"/>
        <v>1319.99</v>
      </c>
      <c r="S161" s="62">
        <f t="shared" si="11"/>
        <v>1.4666555555555556</v>
      </c>
      <c r="T161" s="25"/>
      <c r="U161" s="25"/>
      <c r="V161" s="25"/>
      <c r="W161" s="25"/>
    </row>
    <row r="162" spans="1:23" s="8" customFormat="1" ht="45">
      <c r="A162" s="3">
        <v>161</v>
      </c>
      <c r="B162" s="1" t="s">
        <v>153</v>
      </c>
      <c r="C162" s="1" t="s">
        <v>165</v>
      </c>
      <c r="D162" s="2">
        <v>29.75</v>
      </c>
      <c r="E162" s="2">
        <v>17.850000000000001</v>
      </c>
      <c r="F162" s="2">
        <v>15</v>
      </c>
      <c r="G162" s="2">
        <v>17.25</v>
      </c>
      <c r="H162" s="25">
        <v>675</v>
      </c>
      <c r="I162" s="25">
        <v>714</v>
      </c>
      <c r="J162" s="6">
        <f t="shared" si="12"/>
        <v>1.0577777777777777</v>
      </c>
      <c r="K162" s="25">
        <v>675</v>
      </c>
      <c r="L162" s="25">
        <v>685</v>
      </c>
      <c r="M162" s="6">
        <f t="shared" si="13"/>
        <v>1.0148148148148148</v>
      </c>
      <c r="N162" s="5">
        <v>720</v>
      </c>
      <c r="O162" s="5">
        <v>995</v>
      </c>
      <c r="P162" s="6">
        <v>1.3819444444444444</v>
      </c>
      <c r="Q162" s="60">
        <f t="shared" si="9"/>
        <v>720</v>
      </c>
      <c r="R162" s="61">
        <f t="shared" si="10"/>
        <v>1084.5500000000002</v>
      </c>
      <c r="S162" s="62">
        <f t="shared" si="11"/>
        <v>1.5063194444444448</v>
      </c>
      <c r="T162" s="25"/>
      <c r="U162" s="25"/>
      <c r="V162" s="25"/>
      <c r="W162" s="25"/>
    </row>
    <row r="163" spans="1:23" s="8" customFormat="1" ht="45">
      <c r="A163" s="3">
        <v>162</v>
      </c>
      <c r="B163" s="1" t="s">
        <v>153</v>
      </c>
      <c r="C163" s="1" t="s">
        <v>166</v>
      </c>
      <c r="D163" s="2">
        <v>30.75</v>
      </c>
      <c r="E163" s="2">
        <v>18.45</v>
      </c>
      <c r="F163" s="2">
        <v>16</v>
      </c>
      <c r="G163" s="2">
        <v>16.5</v>
      </c>
      <c r="H163" s="25">
        <v>675</v>
      </c>
      <c r="I163" s="25">
        <v>958</v>
      </c>
      <c r="J163" s="6">
        <f t="shared" si="12"/>
        <v>1.4192592592592592</v>
      </c>
      <c r="K163" s="25">
        <v>621</v>
      </c>
      <c r="L163" s="25">
        <v>645</v>
      </c>
      <c r="M163" s="6">
        <f t="shared" si="13"/>
        <v>1.038647342995169</v>
      </c>
      <c r="N163" s="5">
        <v>720</v>
      </c>
      <c r="O163" s="5">
        <v>1015</v>
      </c>
      <c r="P163" s="6">
        <v>1.4097222222222223</v>
      </c>
      <c r="Q163" s="60">
        <f t="shared" si="9"/>
        <v>720</v>
      </c>
      <c r="R163" s="61">
        <f t="shared" si="10"/>
        <v>1106.3500000000001</v>
      </c>
      <c r="S163" s="62">
        <f t="shared" si="11"/>
        <v>1.5365972222222224</v>
      </c>
      <c r="T163" s="25"/>
      <c r="U163" s="25"/>
      <c r="V163" s="25"/>
      <c r="W163" s="25"/>
    </row>
    <row r="164" spans="1:23" s="8" customFormat="1" ht="45">
      <c r="A164" s="3">
        <v>163</v>
      </c>
      <c r="B164" s="1" t="s">
        <v>153</v>
      </c>
      <c r="C164" s="1" t="s">
        <v>42</v>
      </c>
      <c r="D164" s="2">
        <v>22.5</v>
      </c>
      <c r="E164" s="2">
        <v>13.5</v>
      </c>
      <c r="F164" s="2">
        <v>5.25</v>
      </c>
      <c r="G164" s="2">
        <v>10</v>
      </c>
      <c r="H164" s="25">
        <v>331</v>
      </c>
      <c r="I164" s="25">
        <v>412</v>
      </c>
      <c r="J164" s="6">
        <f t="shared" si="12"/>
        <v>1.244712990936556</v>
      </c>
      <c r="K164" s="25">
        <v>340</v>
      </c>
      <c r="L164" s="25">
        <v>336</v>
      </c>
      <c r="M164" s="6">
        <f t="shared" si="13"/>
        <v>0.9882352941176471</v>
      </c>
      <c r="N164" s="5">
        <v>405</v>
      </c>
      <c r="O164" s="5">
        <v>500</v>
      </c>
      <c r="P164" s="6">
        <v>1.2345679012345678</v>
      </c>
      <c r="Q164" s="60">
        <f t="shared" si="9"/>
        <v>405</v>
      </c>
      <c r="R164" s="61">
        <f t="shared" si="10"/>
        <v>545</v>
      </c>
      <c r="S164" s="62">
        <f t="shared" si="11"/>
        <v>1.345679012345679</v>
      </c>
      <c r="T164" s="25"/>
      <c r="U164" s="25"/>
      <c r="V164" s="25"/>
      <c r="W164" s="25"/>
    </row>
    <row r="165" spans="1:23" s="8" customFormat="1" ht="45">
      <c r="A165" s="3">
        <v>164</v>
      </c>
      <c r="B165" s="1" t="s">
        <v>153</v>
      </c>
      <c r="C165" s="1" t="s">
        <v>167</v>
      </c>
      <c r="D165" s="2">
        <v>24</v>
      </c>
      <c r="E165" s="2">
        <v>14.4</v>
      </c>
      <c r="F165" s="2">
        <v>9</v>
      </c>
      <c r="G165" s="2">
        <v>9</v>
      </c>
      <c r="H165" s="25">
        <v>326</v>
      </c>
      <c r="I165" s="25">
        <v>454</v>
      </c>
      <c r="J165" s="6">
        <f t="shared" si="12"/>
        <v>1.3926380368098159</v>
      </c>
      <c r="K165" s="25">
        <v>325</v>
      </c>
      <c r="L165" s="25">
        <v>367</v>
      </c>
      <c r="M165" s="6">
        <f t="shared" si="13"/>
        <v>1.1292307692307693</v>
      </c>
      <c r="N165" s="5">
        <v>450</v>
      </c>
      <c r="O165" s="5">
        <v>478</v>
      </c>
      <c r="P165" s="6">
        <v>1.0622222222222222</v>
      </c>
      <c r="Q165" s="60">
        <f t="shared" si="9"/>
        <v>450</v>
      </c>
      <c r="R165" s="61">
        <f t="shared" si="10"/>
        <v>521.02</v>
      </c>
      <c r="S165" s="62">
        <f t="shared" si="11"/>
        <v>1.1578222222222221</v>
      </c>
      <c r="T165" s="25"/>
      <c r="U165" s="25"/>
      <c r="V165" s="25"/>
      <c r="W165" s="25"/>
    </row>
    <row r="166" spans="1:23" s="8" customFormat="1" ht="45">
      <c r="A166" s="3">
        <v>165</v>
      </c>
      <c r="B166" s="1" t="s">
        <v>153</v>
      </c>
      <c r="C166" s="1" t="s">
        <v>61</v>
      </c>
      <c r="D166" s="2">
        <v>20.75</v>
      </c>
      <c r="E166" s="2">
        <v>12.45</v>
      </c>
      <c r="F166" s="2">
        <v>9.5</v>
      </c>
      <c r="G166" s="2">
        <v>12.75</v>
      </c>
      <c r="H166" s="25">
        <v>396</v>
      </c>
      <c r="I166" s="25">
        <v>433</v>
      </c>
      <c r="J166" s="6">
        <f t="shared" si="12"/>
        <v>1.0934343434343434</v>
      </c>
      <c r="K166" s="25">
        <v>342</v>
      </c>
      <c r="L166" s="25">
        <v>357</v>
      </c>
      <c r="M166" s="6">
        <f t="shared" si="13"/>
        <v>1.0438596491228069</v>
      </c>
      <c r="N166" s="5">
        <v>540</v>
      </c>
      <c r="O166" s="5">
        <v>502</v>
      </c>
      <c r="P166" s="6">
        <v>0.92962962962962958</v>
      </c>
      <c r="Q166" s="60">
        <f t="shared" si="9"/>
        <v>540</v>
      </c>
      <c r="R166" s="61">
        <f t="shared" si="10"/>
        <v>547.18000000000006</v>
      </c>
      <c r="S166" s="62">
        <f t="shared" si="11"/>
        <v>1.0132962962962964</v>
      </c>
      <c r="T166" s="25"/>
      <c r="U166" s="25"/>
      <c r="V166" s="25"/>
      <c r="W166" s="25"/>
    </row>
    <row r="167" spans="1:23" s="8" customFormat="1" ht="45">
      <c r="A167" s="3">
        <v>166</v>
      </c>
      <c r="B167" s="1" t="s">
        <v>153</v>
      </c>
      <c r="C167" s="1" t="s">
        <v>168</v>
      </c>
      <c r="D167" s="2">
        <v>22.75</v>
      </c>
      <c r="E167" s="2">
        <v>13.65</v>
      </c>
      <c r="F167" s="2">
        <v>8.5</v>
      </c>
      <c r="G167" s="2">
        <v>9</v>
      </c>
      <c r="H167" s="25">
        <v>352</v>
      </c>
      <c r="I167" s="25">
        <v>418</v>
      </c>
      <c r="J167" s="6">
        <f t="shared" si="12"/>
        <v>1.1875</v>
      </c>
      <c r="K167" s="25">
        <v>315</v>
      </c>
      <c r="L167" s="25">
        <v>305</v>
      </c>
      <c r="M167" s="6">
        <f t="shared" si="13"/>
        <v>0.96825396825396826</v>
      </c>
      <c r="N167" s="5">
        <v>450</v>
      </c>
      <c r="O167" s="5">
        <v>446</v>
      </c>
      <c r="P167" s="6">
        <v>0.99111111111111116</v>
      </c>
      <c r="Q167" s="60">
        <f t="shared" si="9"/>
        <v>450</v>
      </c>
      <c r="R167" s="61">
        <f t="shared" si="10"/>
        <v>486.14000000000004</v>
      </c>
      <c r="S167" s="62">
        <f t="shared" si="11"/>
        <v>1.0803111111111112</v>
      </c>
      <c r="T167" s="25"/>
      <c r="U167" s="25"/>
      <c r="V167" s="25"/>
      <c r="W167" s="25"/>
    </row>
    <row r="168" spans="1:23" s="8" customFormat="1" ht="45">
      <c r="A168" s="3">
        <v>167</v>
      </c>
      <c r="B168" s="1" t="s">
        <v>153</v>
      </c>
      <c r="C168" s="1" t="s">
        <v>169</v>
      </c>
      <c r="D168" s="2">
        <v>27</v>
      </c>
      <c r="E168" s="2">
        <v>16.2</v>
      </c>
      <c r="F168" s="2">
        <v>14.25</v>
      </c>
      <c r="G168" s="2">
        <v>14</v>
      </c>
      <c r="H168" s="25">
        <v>495</v>
      </c>
      <c r="I168" s="25">
        <v>615</v>
      </c>
      <c r="J168" s="6">
        <f t="shared" si="12"/>
        <v>1.2424242424242424</v>
      </c>
      <c r="K168" s="25">
        <v>430</v>
      </c>
      <c r="L168" s="25">
        <v>493</v>
      </c>
      <c r="M168" s="6">
        <f t="shared" si="13"/>
        <v>1.1465116279069767</v>
      </c>
      <c r="N168" s="5">
        <v>540</v>
      </c>
      <c r="O168" s="5">
        <v>754</v>
      </c>
      <c r="P168" s="6">
        <v>1.3962962962962964</v>
      </c>
      <c r="Q168" s="60">
        <f t="shared" si="9"/>
        <v>540</v>
      </c>
      <c r="R168" s="61">
        <f t="shared" si="10"/>
        <v>821.86</v>
      </c>
      <c r="S168" s="62">
        <f t="shared" si="11"/>
        <v>1.521962962962963</v>
      </c>
      <c r="T168" s="25"/>
      <c r="U168" s="25"/>
      <c r="V168" s="25"/>
      <c r="W168" s="25"/>
    </row>
    <row r="169" spans="1:23" s="8" customFormat="1" ht="45">
      <c r="A169" s="3">
        <v>168</v>
      </c>
      <c r="B169" s="1" t="s">
        <v>153</v>
      </c>
      <c r="C169" s="1" t="s">
        <v>170</v>
      </c>
      <c r="D169" s="2">
        <v>20.5</v>
      </c>
      <c r="E169" s="2">
        <v>12.3</v>
      </c>
      <c r="F169" s="2">
        <v>9.5</v>
      </c>
      <c r="G169" s="2">
        <v>9</v>
      </c>
      <c r="H169" s="25">
        <v>315</v>
      </c>
      <c r="I169" s="25">
        <v>432</v>
      </c>
      <c r="J169" s="6">
        <f t="shared" si="12"/>
        <v>1.3714285714285714</v>
      </c>
      <c r="K169" s="25">
        <v>300</v>
      </c>
      <c r="L169" s="25">
        <v>332</v>
      </c>
      <c r="M169" s="6">
        <f t="shared" si="13"/>
        <v>1.1066666666666667</v>
      </c>
      <c r="N169" s="5">
        <v>450</v>
      </c>
      <c r="O169" s="5">
        <v>398</v>
      </c>
      <c r="P169" s="6">
        <v>0.88444444444444448</v>
      </c>
      <c r="Q169" s="60">
        <f t="shared" si="9"/>
        <v>450</v>
      </c>
      <c r="R169" s="61">
        <f t="shared" si="10"/>
        <v>433.82000000000005</v>
      </c>
      <c r="S169" s="62">
        <f t="shared" si="11"/>
        <v>0.96404444444444459</v>
      </c>
      <c r="T169" s="25"/>
      <c r="U169" s="25"/>
      <c r="V169" s="25"/>
      <c r="W169" s="25"/>
    </row>
    <row r="170" spans="1:23" s="8" customFormat="1" ht="45">
      <c r="A170" s="3">
        <v>169</v>
      </c>
      <c r="B170" s="1" t="s">
        <v>153</v>
      </c>
      <c r="C170" s="1" t="s">
        <v>56</v>
      </c>
      <c r="D170" s="2">
        <v>19.25</v>
      </c>
      <c r="E170" s="2">
        <v>11.55</v>
      </c>
      <c r="F170" s="2">
        <v>11.5</v>
      </c>
      <c r="G170" s="2">
        <v>15.25</v>
      </c>
      <c r="H170" s="25">
        <v>368</v>
      </c>
      <c r="I170" s="25">
        <v>320</v>
      </c>
      <c r="J170" s="6">
        <f t="shared" si="12"/>
        <v>0.86956521739130432</v>
      </c>
      <c r="K170" s="25">
        <v>330</v>
      </c>
      <c r="L170" s="25">
        <v>322</v>
      </c>
      <c r="M170" s="6">
        <f t="shared" si="13"/>
        <v>0.97575757575757571</v>
      </c>
      <c r="N170" s="5">
        <v>405</v>
      </c>
      <c r="O170" s="5">
        <v>563</v>
      </c>
      <c r="P170" s="6">
        <v>1.3901234567901235</v>
      </c>
      <c r="Q170" s="60">
        <f t="shared" si="9"/>
        <v>405</v>
      </c>
      <c r="R170" s="61">
        <f t="shared" si="10"/>
        <v>613.67000000000007</v>
      </c>
      <c r="S170" s="62">
        <f t="shared" si="11"/>
        <v>1.5152345679012347</v>
      </c>
      <c r="T170" s="25"/>
      <c r="U170" s="25"/>
      <c r="V170" s="25"/>
      <c r="W170" s="25"/>
    </row>
    <row r="171" spans="1:23" s="48" customFormat="1" ht="45">
      <c r="A171" s="3">
        <v>170</v>
      </c>
      <c r="B171" s="44" t="s">
        <v>153</v>
      </c>
      <c r="C171" s="44" t="s">
        <v>171</v>
      </c>
      <c r="D171" s="45">
        <f>G171</f>
        <v>9</v>
      </c>
      <c r="E171" s="45">
        <f>G171</f>
        <v>9</v>
      </c>
      <c r="F171" s="45">
        <f>G171</f>
        <v>9</v>
      </c>
      <c r="G171" s="45">
        <v>9</v>
      </c>
      <c r="H171" s="46">
        <f>N171</f>
        <v>675</v>
      </c>
      <c r="I171" s="46">
        <f>H171</f>
        <v>675</v>
      </c>
      <c r="J171" s="47">
        <f>I171/H171</f>
        <v>1</v>
      </c>
      <c r="K171" s="46">
        <f>I171</f>
        <v>675</v>
      </c>
      <c r="L171" s="46">
        <f>K171</f>
        <v>675</v>
      </c>
      <c r="M171" s="47">
        <f>L171/K171</f>
        <v>1</v>
      </c>
      <c r="N171" s="46">
        <v>675</v>
      </c>
      <c r="O171" s="46">
        <f>N171</f>
        <v>675</v>
      </c>
      <c r="P171" s="47">
        <f>O171/N171</f>
        <v>1</v>
      </c>
      <c r="Q171" s="60">
        <f t="shared" si="9"/>
        <v>675</v>
      </c>
      <c r="R171" s="61">
        <f t="shared" si="10"/>
        <v>735.75</v>
      </c>
      <c r="S171" s="62">
        <f t="shared" si="11"/>
        <v>1.0900000000000001</v>
      </c>
      <c r="T171" s="55"/>
      <c r="U171" s="55"/>
      <c r="V171" s="55"/>
      <c r="W171" s="55"/>
    </row>
    <row r="172" spans="1:23" s="26" customFormat="1" ht="38" customHeight="1">
      <c r="H172" s="27">
        <f>SUM(H2:H171)</f>
        <v>104193</v>
      </c>
      <c r="I172" s="27">
        <f t="shared" ref="I172:O172" si="14">SUM(I2:I171)</f>
        <v>139398.177</v>
      </c>
      <c r="J172" s="28">
        <f>I172/H172</f>
        <v>1.3378842820534969</v>
      </c>
      <c r="K172" s="27">
        <f t="shared" si="14"/>
        <v>95238</v>
      </c>
      <c r="L172" s="27">
        <f t="shared" si="14"/>
        <v>113188.22427353024</v>
      </c>
      <c r="M172" s="28">
        <f>L172/K172</f>
        <v>1.1884775433496109</v>
      </c>
      <c r="N172" s="27">
        <f t="shared" si="14"/>
        <v>114000</v>
      </c>
      <c r="O172" s="27">
        <f t="shared" si="14"/>
        <v>154584</v>
      </c>
      <c r="P172" s="28">
        <f>O172/N172</f>
        <v>1.3560000000000001</v>
      </c>
      <c r="Q172" s="64">
        <f>SUM(Q2:Q171)</f>
        <v>114000</v>
      </c>
      <c r="R172" s="65">
        <f>SUM(R2:R171)</f>
        <v>168495.34000000011</v>
      </c>
      <c r="S172" s="66">
        <f>R172/Q172</f>
        <v>1.4780292982456151</v>
      </c>
      <c r="T172" s="70"/>
      <c r="U172" s="20"/>
      <c r="V172" s="20"/>
      <c r="W172" s="20"/>
    </row>
    <row r="173" spans="1:23" s="26" customFormat="1" ht="39" customHeight="1">
      <c r="B173" s="69" t="s">
        <v>504</v>
      </c>
      <c r="C173" s="68"/>
      <c r="Q173" s="67"/>
      <c r="R173" s="67"/>
      <c r="S173" s="67"/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N48"/>
  <sheetViews>
    <sheetView topLeftCell="A9" workbookViewId="0">
      <selection activeCell="J12" sqref="J12"/>
    </sheetView>
  </sheetViews>
  <sheetFormatPr baseColWidth="10" defaultColWidth="8.83203125" defaultRowHeight="14" x14ac:dyDescent="0"/>
  <cols>
    <col min="1" max="2" width="13.6640625" customWidth="1"/>
    <col min="3" max="3" width="12.6640625" customWidth="1"/>
    <col min="4" max="6" width="14.6640625" customWidth="1"/>
    <col min="7" max="7" width="12.1640625" customWidth="1"/>
    <col min="8" max="9" width="14.83203125" customWidth="1"/>
    <col min="10" max="10" width="14.5" customWidth="1"/>
    <col min="11" max="11" width="17.83203125" customWidth="1"/>
  </cols>
  <sheetData>
    <row r="2" spans="1:14" ht="42">
      <c r="A2" s="21" t="s">
        <v>173</v>
      </c>
      <c r="B2" s="21" t="s">
        <v>186</v>
      </c>
      <c r="C2" s="20" t="s">
        <v>267</v>
      </c>
      <c r="D2" s="20" t="s">
        <v>268</v>
      </c>
      <c r="E2" s="20" t="s">
        <v>269</v>
      </c>
      <c r="F2" s="20" t="s">
        <v>174</v>
      </c>
      <c r="G2" s="20" t="s">
        <v>175</v>
      </c>
      <c r="H2" s="20" t="s">
        <v>185</v>
      </c>
      <c r="I2" s="20" t="s">
        <v>176</v>
      </c>
      <c r="J2" s="20" t="s">
        <v>177</v>
      </c>
      <c r="K2" s="20" t="s">
        <v>185</v>
      </c>
      <c r="L2" s="20" t="s">
        <v>178</v>
      </c>
      <c r="M2" s="20" t="s">
        <v>179</v>
      </c>
      <c r="N2" s="20" t="s">
        <v>185</v>
      </c>
    </row>
    <row r="3" spans="1:14" s="26" customFormat="1" ht="28">
      <c r="A3" s="23" t="s">
        <v>180</v>
      </c>
      <c r="B3" s="23"/>
      <c r="C3" s="20"/>
      <c r="D3" s="20"/>
      <c r="E3" s="20"/>
      <c r="F3" s="20">
        <v>770</v>
      </c>
      <c r="G3" s="20">
        <v>4210</v>
      </c>
      <c r="H3" s="59">
        <f t="shared" ref="H3" si="0">G3/F3</f>
        <v>5.4675324675324672</v>
      </c>
      <c r="I3" s="20">
        <v>805</v>
      </c>
      <c r="J3" s="20">
        <v>3926</v>
      </c>
      <c r="K3" s="59">
        <f t="shared" ref="K3" si="1">J3/I3</f>
        <v>4.8770186335403727</v>
      </c>
      <c r="L3" s="20">
        <v>805</v>
      </c>
      <c r="M3" s="20">
        <v>5738</v>
      </c>
      <c r="N3" s="59">
        <f t="shared" ref="N3" si="2">M3/L3</f>
        <v>7.1279503105590063</v>
      </c>
    </row>
    <row r="4" spans="1:14">
      <c r="A4" s="22" t="s">
        <v>187</v>
      </c>
      <c r="B4" s="22" t="s">
        <v>188</v>
      </c>
      <c r="C4" s="19" t="s">
        <v>189</v>
      </c>
      <c r="D4" s="19" t="s">
        <v>190</v>
      </c>
      <c r="E4" s="19" t="s">
        <v>191</v>
      </c>
      <c r="F4" s="19"/>
      <c r="G4" s="19"/>
      <c r="H4" s="29"/>
      <c r="I4" s="19"/>
      <c r="J4" s="19"/>
      <c r="K4" s="29"/>
      <c r="L4" s="19"/>
      <c r="M4" s="19"/>
      <c r="N4" s="29"/>
    </row>
    <row r="5" spans="1:14" ht="28">
      <c r="A5" s="22" t="s">
        <v>187</v>
      </c>
      <c r="B5" s="22" t="s">
        <v>192</v>
      </c>
      <c r="C5" s="19" t="s">
        <v>193</v>
      </c>
      <c r="D5" s="19" t="s">
        <v>194</v>
      </c>
      <c r="E5" s="19" t="s">
        <v>195</v>
      </c>
    </row>
    <row r="6" spans="1:14">
      <c r="A6" s="22" t="s">
        <v>187</v>
      </c>
      <c r="B6" s="22" t="s">
        <v>196</v>
      </c>
      <c r="C6" s="19" t="s">
        <v>197</v>
      </c>
      <c r="D6" s="19" t="s">
        <v>198</v>
      </c>
      <c r="E6" s="19" t="s">
        <v>199</v>
      </c>
    </row>
    <row r="7" spans="1:14">
      <c r="A7" s="22" t="s">
        <v>187</v>
      </c>
      <c r="B7" s="22" t="s">
        <v>200</v>
      </c>
      <c r="C7" s="19" t="s">
        <v>201</v>
      </c>
      <c r="D7" s="19" t="s">
        <v>202</v>
      </c>
      <c r="E7" s="19" t="s">
        <v>203</v>
      </c>
    </row>
    <row r="8" spans="1:14">
      <c r="A8" s="22" t="s">
        <v>187</v>
      </c>
      <c r="B8" s="22" t="s">
        <v>204</v>
      </c>
      <c r="C8" s="19" t="s">
        <v>199</v>
      </c>
      <c r="D8" s="19" t="s">
        <v>205</v>
      </c>
      <c r="E8" s="19" t="s">
        <v>206</v>
      </c>
    </row>
    <row r="9" spans="1:14">
      <c r="A9" s="22" t="s">
        <v>187</v>
      </c>
      <c r="B9" s="22" t="s">
        <v>207</v>
      </c>
      <c r="C9" s="19" t="s">
        <v>208</v>
      </c>
      <c r="D9" s="19" t="s">
        <v>205</v>
      </c>
      <c r="E9" s="19" t="s">
        <v>205</v>
      </c>
    </row>
    <row r="10" spans="1:14">
      <c r="A10" s="22" t="s">
        <v>187</v>
      </c>
      <c r="B10" s="22" t="s">
        <v>209</v>
      </c>
      <c r="C10" s="19" t="s">
        <v>210</v>
      </c>
      <c r="D10" s="19" t="s">
        <v>205</v>
      </c>
      <c r="E10" s="19" t="s">
        <v>211</v>
      </c>
    </row>
    <row r="11" spans="1:14">
      <c r="A11" s="22" t="s">
        <v>187</v>
      </c>
      <c r="B11" s="22" t="s">
        <v>212</v>
      </c>
      <c r="C11" s="19" t="s">
        <v>213</v>
      </c>
      <c r="D11" s="19" t="s">
        <v>193</v>
      </c>
      <c r="E11" s="19" t="s">
        <v>214</v>
      </c>
    </row>
    <row r="12" spans="1:14">
      <c r="A12" s="22" t="s">
        <v>187</v>
      </c>
      <c r="B12" s="22" t="s">
        <v>215</v>
      </c>
      <c r="C12" s="19" t="s">
        <v>216</v>
      </c>
      <c r="D12" s="19" t="s">
        <v>217</v>
      </c>
      <c r="E12" s="19" t="s">
        <v>218</v>
      </c>
    </row>
    <row r="13" spans="1:14">
      <c r="A13" s="22" t="s">
        <v>187</v>
      </c>
      <c r="B13" s="22" t="s">
        <v>219</v>
      </c>
      <c r="C13" s="19" t="s">
        <v>220</v>
      </c>
      <c r="D13" s="19" t="s">
        <v>221</v>
      </c>
      <c r="E13" s="19" t="s">
        <v>222</v>
      </c>
    </row>
    <row r="14" spans="1:14">
      <c r="A14" s="22" t="s">
        <v>187</v>
      </c>
      <c r="B14" s="22" t="s">
        <v>223</v>
      </c>
      <c r="C14" s="19" t="s">
        <v>220</v>
      </c>
      <c r="D14" s="19" t="s">
        <v>220</v>
      </c>
      <c r="E14" s="19" t="s">
        <v>193</v>
      </c>
    </row>
    <row r="15" spans="1:14">
      <c r="A15" s="22" t="s">
        <v>187</v>
      </c>
      <c r="B15" s="22" t="s">
        <v>224</v>
      </c>
      <c r="C15" s="19" t="s">
        <v>225</v>
      </c>
      <c r="D15" s="19" t="s">
        <v>217</v>
      </c>
      <c r="E15" s="19" t="s">
        <v>226</v>
      </c>
    </row>
    <row r="16" spans="1:14">
      <c r="A16" s="22" t="s">
        <v>187</v>
      </c>
      <c r="B16" s="22" t="s">
        <v>227</v>
      </c>
      <c r="C16" s="19" t="s">
        <v>228</v>
      </c>
      <c r="D16" s="19" t="s">
        <v>228</v>
      </c>
      <c r="E16" s="19" t="s">
        <v>229</v>
      </c>
    </row>
    <row r="17" spans="1:14" s="26" customFormat="1" ht="28">
      <c r="A17" s="23" t="s">
        <v>181</v>
      </c>
      <c r="B17" s="23"/>
      <c r="C17" s="20"/>
      <c r="D17" s="20"/>
      <c r="E17" s="20"/>
      <c r="F17" s="20">
        <v>455</v>
      </c>
      <c r="G17" s="20">
        <v>1864</v>
      </c>
      <c r="H17" s="59">
        <f t="shared" ref="H17" si="3">G17/F17</f>
        <v>4.0967032967032964</v>
      </c>
      <c r="I17" s="20">
        <v>455</v>
      </c>
      <c r="J17" s="20">
        <v>1624</v>
      </c>
      <c r="K17" s="59">
        <f t="shared" ref="K17" si="4">J17/I17</f>
        <v>3.5692307692307694</v>
      </c>
      <c r="L17" s="20">
        <v>525</v>
      </c>
      <c r="M17" s="20">
        <v>2521</v>
      </c>
      <c r="N17" s="59">
        <f t="shared" ref="N17" si="5">M17/L17</f>
        <v>4.8019047619047619</v>
      </c>
    </row>
    <row r="18" spans="1:14">
      <c r="A18" s="22" t="s">
        <v>230</v>
      </c>
      <c r="B18" s="22" t="s">
        <v>188</v>
      </c>
      <c r="C18" s="19" t="s">
        <v>228</v>
      </c>
      <c r="D18" s="19" t="s">
        <v>206</v>
      </c>
      <c r="E18" s="19" t="s">
        <v>191</v>
      </c>
      <c r="F18" s="19"/>
      <c r="G18" s="19"/>
      <c r="H18" s="29"/>
      <c r="I18" s="19"/>
      <c r="J18" s="19"/>
      <c r="K18" s="29"/>
      <c r="L18" s="19"/>
      <c r="M18" s="19"/>
      <c r="N18" s="29"/>
    </row>
    <row r="19" spans="1:14" ht="28">
      <c r="A19" s="22" t="s">
        <v>230</v>
      </c>
      <c r="B19" s="22" t="s">
        <v>192</v>
      </c>
      <c r="C19" s="19" t="s">
        <v>189</v>
      </c>
      <c r="D19" s="19" t="s">
        <v>201</v>
      </c>
      <c r="E19" s="19" t="s">
        <v>189</v>
      </c>
    </row>
    <row r="20" spans="1:14">
      <c r="A20" s="22" t="s">
        <v>230</v>
      </c>
      <c r="B20" s="22" t="s">
        <v>196</v>
      </c>
      <c r="C20" s="19" t="s">
        <v>231</v>
      </c>
      <c r="D20" s="19" t="s">
        <v>232</v>
      </c>
      <c r="E20" s="19" t="s">
        <v>233</v>
      </c>
    </row>
    <row r="21" spans="1:14">
      <c r="A21" s="22" t="s">
        <v>230</v>
      </c>
      <c r="B21" s="22" t="s">
        <v>200</v>
      </c>
      <c r="C21" s="19" t="s">
        <v>206</v>
      </c>
      <c r="D21" s="19" t="s">
        <v>234</v>
      </c>
      <c r="E21" s="19" t="s">
        <v>235</v>
      </c>
    </row>
    <row r="22" spans="1:14">
      <c r="A22" s="22" t="s">
        <v>230</v>
      </c>
      <c r="B22" s="22" t="s">
        <v>204</v>
      </c>
      <c r="C22" s="19" t="s">
        <v>236</v>
      </c>
      <c r="D22" s="19" t="s">
        <v>232</v>
      </c>
      <c r="E22" s="19" t="s">
        <v>202</v>
      </c>
    </row>
    <row r="23" spans="1:14">
      <c r="A23" s="22" t="s">
        <v>230</v>
      </c>
      <c r="B23" s="22" t="s">
        <v>212</v>
      </c>
      <c r="C23" s="19" t="s">
        <v>222</v>
      </c>
      <c r="D23" s="19" t="s">
        <v>194</v>
      </c>
      <c r="E23" s="19" t="s">
        <v>195</v>
      </c>
    </row>
    <row r="24" spans="1:14">
      <c r="A24" s="22" t="s">
        <v>230</v>
      </c>
      <c r="B24" s="22" t="s">
        <v>215</v>
      </c>
      <c r="C24" s="19" t="s">
        <v>237</v>
      </c>
      <c r="D24" s="19" t="s">
        <v>216</v>
      </c>
      <c r="E24" s="19" t="s">
        <v>238</v>
      </c>
    </row>
    <row r="25" spans="1:14">
      <c r="A25" s="22" t="s">
        <v>230</v>
      </c>
      <c r="B25" s="22" t="s">
        <v>219</v>
      </c>
      <c r="C25" s="19" t="s">
        <v>206</v>
      </c>
      <c r="D25" s="19" t="s">
        <v>217</v>
      </c>
      <c r="E25" s="19" t="s">
        <v>238</v>
      </c>
    </row>
    <row r="26" spans="1:14">
      <c r="A26" s="22" t="s">
        <v>230</v>
      </c>
      <c r="B26" s="22" t="s">
        <v>223</v>
      </c>
      <c r="C26" s="19" t="s">
        <v>194</v>
      </c>
      <c r="D26" s="19" t="s">
        <v>239</v>
      </c>
      <c r="E26" s="19" t="s">
        <v>239</v>
      </c>
    </row>
    <row r="27" spans="1:14">
      <c r="A27" s="22" t="s">
        <v>230</v>
      </c>
      <c r="B27" s="22" t="s">
        <v>227</v>
      </c>
      <c r="C27" s="19" t="s">
        <v>197</v>
      </c>
      <c r="D27" s="19" t="s">
        <v>190</v>
      </c>
      <c r="E27" s="19" t="s">
        <v>228</v>
      </c>
    </row>
    <row r="28" spans="1:14" s="26" customFormat="1" ht="42">
      <c r="A28" s="23" t="s">
        <v>183</v>
      </c>
      <c r="B28" s="23"/>
      <c r="C28" s="20"/>
      <c r="D28" s="20"/>
      <c r="E28" s="20"/>
      <c r="F28" s="20">
        <v>315</v>
      </c>
      <c r="G28" s="20">
        <v>957</v>
      </c>
      <c r="H28" s="59">
        <v>3.04</v>
      </c>
      <c r="I28" s="20">
        <v>385</v>
      </c>
      <c r="J28" s="20">
        <v>993</v>
      </c>
      <c r="K28" s="59">
        <v>2.58</v>
      </c>
      <c r="L28" s="20">
        <v>455</v>
      </c>
      <c r="M28" s="20">
        <v>1526</v>
      </c>
      <c r="N28" s="59">
        <f t="shared" ref="N28" si="6">M28/L28</f>
        <v>3.3538461538461539</v>
      </c>
    </row>
    <row r="29" spans="1:14">
      <c r="A29" s="23" t="s">
        <v>240</v>
      </c>
      <c r="B29" s="22" t="s">
        <v>188</v>
      </c>
      <c r="C29" s="19" t="s">
        <v>241</v>
      </c>
      <c r="D29" s="19" t="s">
        <v>242</v>
      </c>
      <c r="E29" s="19" t="s">
        <v>221</v>
      </c>
      <c r="F29" s="19"/>
      <c r="G29" s="19"/>
      <c r="H29" s="29"/>
      <c r="I29" s="19"/>
      <c r="J29" s="19"/>
      <c r="K29" s="29"/>
      <c r="L29" s="19"/>
      <c r="M29" s="19"/>
      <c r="N29" s="29"/>
    </row>
    <row r="30" spans="1:14">
      <c r="A30" s="22" t="s">
        <v>240</v>
      </c>
      <c r="B30" s="22" t="s">
        <v>196</v>
      </c>
      <c r="C30" s="19" t="s">
        <v>243</v>
      </c>
      <c r="D30" s="19" t="s">
        <v>244</v>
      </c>
      <c r="E30" s="19" t="s">
        <v>216</v>
      </c>
    </row>
    <row r="31" spans="1:14">
      <c r="A31" s="22" t="s">
        <v>240</v>
      </c>
      <c r="B31" s="22" t="s">
        <v>200</v>
      </c>
      <c r="C31" s="19" t="s">
        <v>245</v>
      </c>
      <c r="D31" s="19" t="s">
        <v>246</v>
      </c>
      <c r="E31" s="19" t="s">
        <v>226</v>
      </c>
    </row>
    <row r="32" spans="1:14">
      <c r="A32" s="22" t="s">
        <v>240</v>
      </c>
      <c r="B32" s="22" t="s">
        <v>204</v>
      </c>
      <c r="C32" s="19" t="s">
        <v>247</v>
      </c>
      <c r="D32" s="19" t="s">
        <v>248</v>
      </c>
      <c r="E32" s="19" t="s">
        <v>249</v>
      </c>
    </row>
    <row r="33" spans="1:14">
      <c r="A33" s="22" t="s">
        <v>240</v>
      </c>
      <c r="B33" s="22" t="s">
        <v>207</v>
      </c>
      <c r="C33" s="19" t="s">
        <v>184</v>
      </c>
      <c r="D33" s="19" t="s">
        <v>184</v>
      </c>
      <c r="E33" s="19" t="s">
        <v>216</v>
      </c>
    </row>
    <row r="34" spans="1:14">
      <c r="A34" s="22" t="s">
        <v>240</v>
      </c>
      <c r="B34" s="22" t="s">
        <v>212</v>
      </c>
      <c r="C34" s="19" t="s">
        <v>250</v>
      </c>
      <c r="D34" s="30">
        <v>28475</v>
      </c>
      <c r="E34" s="19" t="s">
        <v>238</v>
      </c>
    </row>
    <row r="35" spans="1:14">
      <c r="A35" s="22" t="s">
        <v>240</v>
      </c>
      <c r="B35" s="22" t="s">
        <v>215</v>
      </c>
      <c r="C35" s="20" t="s">
        <v>251</v>
      </c>
      <c r="D35" s="19" t="s">
        <v>252</v>
      </c>
      <c r="E35" s="19" t="s">
        <v>216</v>
      </c>
    </row>
    <row r="36" spans="1:14">
      <c r="A36" s="22" t="s">
        <v>240</v>
      </c>
      <c r="B36" s="22" t="s">
        <v>219</v>
      </c>
      <c r="C36" s="19" t="s">
        <v>253</v>
      </c>
      <c r="D36" s="19" t="s">
        <v>254</v>
      </c>
      <c r="E36" s="19" t="s">
        <v>216</v>
      </c>
    </row>
    <row r="37" spans="1:14">
      <c r="A37" s="22" t="s">
        <v>240</v>
      </c>
      <c r="B37" s="22" t="s">
        <v>223</v>
      </c>
      <c r="C37" s="19" t="s">
        <v>255</v>
      </c>
      <c r="D37" s="19" t="s">
        <v>256</v>
      </c>
      <c r="E37" s="19" t="s">
        <v>234</v>
      </c>
    </row>
    <row r="38" spans="1:14">
      <c r="A38" s="22" t="s">
        <v>240</v>
      </c>
      <c r="B38" s="22" t="s">
        <v>227</v>
      </c>
      <c r="C38" s="19" t="s">
        <v>257</v>
      </c>
      <c r="D38" s="19" t="s">
        <v>258</v>
      </c>
      <c r="E38" s="19" t="s">
        <v>213</v>
      </c>
    </row>
    <row r="39" spans="1:14" s="26" customFormat="1" ht="42">
      <c r="A39" s="23" t="s">
        <v>182</v>
      </c>
      <c r="B39" s="23"/>
      <c r="C39" s="20"/>
      <c r="D39" s="20"/>
      <c r="E39" s="20"/>
      <c r="F39" s="20">
        <v>380</v>
      </c>
      <c r="G39" s="20">
        <v>1011</v>
      </c>
      <c r="H39" s="59">
        <f t="shared" ref="H39" si="7">G39/F39</f>
        <v>2.6605263157894736</v>
      </c>
      <c r="I39" s="20">
        <v>455</v>
      </c>
      <c r="J39" s="20">
        <v>944</v>
      </c>
      <c r="K39" s="59">
        <f t="shared" ref="K39" si="8">J39/I39</f>
        <v>2.0747252747252749</v>
      </c>
      <c r="L39" s="20">
        <v>525</v>
      </c>
      <c r="M39" s="20">
        <v>1325</v>
      </c>
      <c r="N39" s="59">
        <f t="shared" ref="N39" si="9">M39/L39</f>
        <v>2.5238095238095237</v>
      </c>
    </row>
    <row r="40" spans="1:14">
      <c r="A40" s="23" t="s">
        <v>259</v>
      </c>
      <c r="B40" s="22" t="s">
        <v>188</v>
      </c>
      <c r="C40" s="19" t="s">
        <v>260</v>
      </c>
      <c r="D40" s="19" t="s">
        <v>261</v>
      </c>
      <c r="E40" s="19" t="s">
        <v>218</v>
      </c>
      <c r="F40" s="19"/>
      <c r="G40" s="19"/>
      <c r="H40" s="29"/>
      <c r="I40" s="19"/>
      <c r="J40" s="19"/>
      <c r="K40" s="29"/>
      <c r="L40" s="19"/>
      <c r="M40" s="19"/>
      <c r="N40" s="29"/>
    </row>
    <row r="41" spans="1:14">
      <c r="A41" s="22" t="s">
        <v>259</v>
      </c>
      <c r="B41" s="22" t="s">
        <v>196</v>
      </c>
      <c r="C41" s="19" t="s">
        <v>184</v>
      </c>
      <c r="D41" s="19" t="s">
        <v>184</v>
      </c>
      <c r="E41" s="19" t="s">
        <v>216</v>
      </c>
    </row>
    <row r="42" spans="1:14">
      <c r="A42" s="22" t="s">
        <v>259</v>
      </c>
      <c r="B42" s="22" t="s">
        <v>200</v>
      </c>
      <c r="C42" s="19" t="s">
        <v>262</v>
      </c>
      <c r="D42" s="19" t="s">
        <v>236</v>
      </c>
      <c r="E42" s="19" t="s">
        <v>202</v>
      </c>
    </row>
    <row r="43" spans="1:14">
      <c r="A43" s="22" t="s">
        <v>259</v>
      </c>
      <c r="B43" s="22" t="s">
        <v>204</v>
      </c>
      <c r="C43" s="19" t="s">
        <v>263</v>
      </c>
      <c r="D43" s="19" t="s">
        <v>208</v>
      </c>
      <c r="E43" s="19" t="s">
        <v>225</v>
      </c>
    </row>
    <row r="44" spans="1:14">
      <c r="A44" s="22" t="s">
        <v>259</v>
      </c>
      <c r="B44" s="22" t="s">
        <v>212</v>
      </c>
      <c r="C44" s="19" t="s">
        <v>229</v>
      </c>
      <c r="D44" s="19" t="s">
        <v>206</v>
      </c>
      <c r="E44" s="19" t="s">
        <v>211</v>
      </c>
    </row>
    <row r="45" spans="1:14">
      <c r="A45" s="22" t="s">
        <v>259</v>
      </c>
      <c r="B45" s="22" t="s">
        <v>215</v>
      </c>
      <c r="C45" s="19" t="s">
        <v>184</v>
      </c>
      <c r="D45" s="19" t="s">
        <v>184</v>
      </c>
      <c r="E45" s="19" t="s">
        <v>216</v>
      </c>
    </row>
    <row r="46" spans="1:14">
      <c r="A46" s="22" t="s">
        <v>259</v>
      </c>
      <c r="B46" s="22" t="s">
        <v>219</v>
      </c>
      <c r="C46" s="19" t="s">
        <v>190</v>
      </c>
      <c r="D46" s="19" t="s">
        <v>194</v>
      </c>
      <c r="E46" s="19" t="s">
        <v>216</v>
      </c>
    </row>
    <row r="47" spans="1:14">
      <c r="A47" s="22" t="s">
        <v>259</v>
      </c>
      <c r="B47" s="22" t="s">
        <v>223</v>
      </c>
      <c r="C47" s="19" t="s">
        <v>264</v>
      </c>
      <c r="D47" s="19" t="s">
        <v>265</v>
      </c>
      <c r="E47" s="19" t="s">
        <v>217</v>
      </c>
    </row>
    <row r="48" spans="1:14">
      <c r="A48" s="22" t="s">
        <v>259</v>
      </c>
      <c r="B48" s="22" t="s">
        <v>227</v>
      </c>
      <c r="C48" s="19" t="s">
        <v>264</v>
      </c>
      <c r="D48" s="19" t="s">
        <v>235</v>
      </c>
      <c r="E48" s="19" t="s">
        <v>206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5"/>
  <sheetViews>
    <sheetView workbookViewId="0">
      <selection activeCell="A15" sqref="A15"/>
    </sheetView>
  </sheetViews>
  <sheetFormatPr baseColWidth="10" defaultColWidth="8.83203125" defaultRowHeight="14" x14ac:dyDescent="0"/>
  <cols>
    <col min="1" max="1" width="18.5" bestFit="1" customWidth="1"/>
    <col min="2" max="2" width="19.33203125" customWidth="1"/>
    <col min="3" max="3" width="37.33203125" customWidth="1"/>
    <col min="4" max="4" width="45.1640625" customWidth="1"/>
  </cols>
  <sheetData>
    <row r="1" spans="1:4" s="39" customFormat="1" ht="23">
      <c r="A1" s="38" t="s">
        <v>408</v>
      </c>
    </row>
    <row r="2" spans="1:4" s="39" customFormat="1"/>
    <row r="3" spans="1:4" s="34" customFormat="1">
      <c r="A3" s="42" t="s">
        <v>404</v>
      </c>
      <c r="B3" s="43" t="s">
        <v>409</v>
      </c>
      <c r="C3" s="42" t="s">
        <v>410</v>
      </c>
      <c r="D3" s="42" t="s">
        <v>405</v>
      </c>
    </row>
    <row r="4" spans="1:4">
      <c r="A4" s="23" t="s">
        <v>411</v>
      </c>
      <c r="B4" s="19" t="s">
        <v>412</v>
      </c>
      <c r="C4" s="23" t="s">
        <v>413</v>
      </c>
      <c r="D4" s="22" t="s">
        <v>414</v>
      </c>
    </row>
    <row r="5" spans="1:4">
      <c r="A5" s="23" t="s">
        <v>415</v>
      </c>
      <c r="B5" s="19" t="s">
        <v>416</v>
      </c>
      <c r="C5" s="23" t="s">
        <v>417</v>
      </c>
      <c r="D5" s="22" t="s">
        <v>418</v>
      </c>
    </row>
    <row r="6" spans="1:4">
      <c r="A6" s="23" t="s">
        <v>419</v>
      </c>
      <c r="B6" s="19" t="s">
        <v>420</v>
      </c>
      <c r="C6" s="23" t="s">
        <v>421</v>
      </c>
      <c r="D6" s="22" t="s">
        <v>422</v>
      </c>
    </row>
    <row r="7" spans="1:4">
      <c r="A7" s="23" t="s">
        <v>423</v>
      </c>
      <c r="B7" s="19" t="s">
        <v>424</v>
      </c>
      <c r="C7" s="23" t="s">
        <v>425</v>
      </c>
      <c r="D7" s="22" t="s">
        <v>426</v>
      </c>
    </row>
    <row r="8" spans="1:4" ht="28">
      <c r="A8" s="23" t="s">
        <v>427</v>
      </c>
      <c r="B8" s="19" t="s">
        <v>428</v>
      </c>
      <c r="C8" s="23" t="s">
        <v>429</v>
      </c>
      <c r="D8" s="22" t="s">
        <v>430</v>
      </c>
    </row>
    <row r="9" spans="1:4" ht="28">
      <c r="A9" s="23" t="s">
        <v>431</v>
      </c>
      <c r="B9" s="19" t="s">
        <v>432</v>
      </c>
      <c r="C9" s="23" t="s">
        <v>433</v>
      </c>
      <c r="D9" s="22" t="s">
        <v>434</v>
      </c>
    </row>
    <row r="10" spans="1:4" ht="28">
      <c r="A10" s="23" t="s">
        <v>407</v>
      </c>
      <c r="B10" s="19" t="s">
        <v>435</v>
      </c>
      <c r="C10" s="23" t="s">
        <v>436</v>
      </c>
      <c r="D10" s="22" t="s">
        <v>437</v>
      </c>
    </row>
    <row r="11" spans="1:4" ht="28">
      <c r="A11" s="23" t="s">
        <v>438</v>
      </c>
      <c r="B11" s="19" t="s">
        <v>439</v>
      </c>
      <c r="C11" s="23" t="s">
        <v>440</v>
      </c>
      <c r="D11" s="22" t="s">
        <v>441</v>
      </c>
    </row>
    <row r="12" spans="1:4">
      <c r="A12" s="23" t="s">
        <v>442</v>
      </c>
      <c r="B12" s="19" t="s">
        <v>443</v>
      </c>
      <c r="C12" s="23" t="s">
        <v>444</v>
      </c>
      <c r="D12" s="22" t="s">
        <v>445</v>
      </c>
    </row>
    <row r="13" spans="1:4" ht="28">
      <c r="A13" s="23" t="s">
        <v>446</v>
      </c>
      <c r="B13" s="19" t="s">
        <v>447</v>
      </c>
      <c r="C13" s="23" t="s">
        <v>448</v>
      </c>
      <c r="D13" s="22" t="s">
        <v>449</v>
      </c>
    </row>
    <row r="14" spans="1:4" s="39" customFormat="1">
      <c r="A14" s="40"/>
    </row>
    <row r="15" spans="1:4" s="39" customFormat="1">
      <c r="A15" s="41" t="s">
        <v>450</v>
      </c>
    </row>
    <row r="16" spans="1:4" s="39" customFormat="1"/>
    <row r="19" spans="1:14" ht="23">
      <c r="A19" s="35" t="s">
        <v>451</v>
      </c>
    </row>
    <row r="21" spans="1:14" s="34" customFormat="1">
      <c r="A21" s="42" t="s">
        <v>404</v>
      </c>
      <c r="B21" s="42" t="s">
        <v>452</v>
      </c>
      <c r="C21" s="42" t="s">
        <v>453</v>
      </c>
    </row>
    <row r="22" spans="1:14" ht="28">
      <c r="A22" s="23" t="s">
        <v>411</v>
      </c>
      <c r="B22" s="23" t="s">
        <v>454</v>
      </c>
      <c r="C22" s="22" t="s">
        <v>455</v>
      </c>
    </row>
    <row r="23" spans="1:14" ht="28">
      <c r="A23" s="23" t="s">
        <v>415</v>
      </c>
      <c r="B23" s="23" t="s">
        <v>406</v>
      </c>
      <c r="C23" s="22" t="s">
        <v>456</v>
      </c>
    </row>
    <row r="24" spans="1:14" ht="28">
      <c r="A24" s="23" t="s">
        <v>419</v>
      </c>
      <c r="B24" s="23" t="s">
        <v>457</v>
      </c>
      <c r="C24" s="22" t="s">
        <v>458</v>
      </c>
    </row>
    <row r="25" spans="1:14" ht="28">
      <c r="A25" s="23" t="s">
        <v>423</v>
      </c>
      <c r="B25" s="23" t="s">
        <v>459</v>
      </c>
      <c r="C25" s="22" t="s">
        <v>460</v>
      </c>
      <c r="N25" t="s">
        <v>266</v>
      </c>
    </row>
    <row r="26" spans="1:14" ht="28">
      <c r="A26" s="23" t="s">
        <v>427</v>
      </c>
      <c r="B26" s="23" t="s">
        <v>461</v>
      </c>
      <c r="C26" s="22" t="s">
        <v>462</v>
      </c>
    </row>
    <row r="27" spans="1:14" ht="28">
      <c r="A27" s="23" t="s">
        <v>431</v>
      </c>
      <c r="B27" s="23" t="s">
        <v>463</v>
      </c>
      <c r="C27" s="22" t="s">
        <v>464</v>
      </c>
    </row>
    <row r="28" spans="1:14" ht="28">
      <c r="A28" s="23" t="s">
        <v>407</v>
      </c>
      <c r="B28" s="23" t="s">
        <v>465</v>
      </c>
      <c r="C28" s="22" t="s">
        <v>466</v>
      </c>
    </row>
    <row r="29" spans="1:14" ht="28">
      <c r="A29" s="23" t="s">
        <v>438</v>
      </c>
      <c r="B29" s="23" t="s">
        <v>467</v>
      </c>
      <c r="C29" s="22" t="s">
        <v>468</v>
      </c>
    </row>
    <row r="30" spans="1:14" ht="28">
      <c r="A30" s="23" t="s">
        <v>442</v>
      </c>
      <c r="B30" s="23" t="s">
        <v>469</v>
      </c>
      <c r="C30" s="22" t="s">
        <v>470</v>
      </c>
    </row>
    <row r="31" spans="1:14" ht="28">
      <c r="A31" s="23" t="s">
        <v>446</v>
      </c>
      <c r="B31" s="23" t="s">
        <v>471</v>
      </c>
      <c r="C31" s="22" t="s">
        <v>472</v>
      </c>
    </row>
    <row r="32" spans="1:14">
      <c r="A32" s="36"/>
    </row>
    <row r="33" spans="1:3">
      <c r="A33" s="37" t="s">
        <v>473</v>
      </c>
    </row>
    <row r="37" spans="1:3" ht="23">
      <c r="A37" s="35" t="s">
        <v>474</v>
      </c>
    </row>
    <row r="39" spans="1:3">
      <c r="A39" s="21" t="s">
        <v>475</v>
      </c>
      <c r="B39" s="21" t="s">
        <v>476</v>
      </c>
      <c r="C39" s="21" t="s">
        <v>477</v>
      </c>
    </row>
    <row r="40" spans="1:3" ht="28">
      <c r="A40" s="23" t="s">
        <v>478</v>
      </c>
      <c r="B40" s="23" t="s">
        <v>478</v>
      </c>
      <c r="C40" s="23" t="s">
        <v>479</v>
      </c>
    </row>
    <row r="41" spans="1:3" ht="28">
      <c r="A41" s="23" t="s">
        <v>478</v>
      </c>
      <c r="B41" s="23" t="s">
        <v>480</v>
      </c>
      <c r="C41" s="22" t="s">
        <v>481</v>
      </c>
    </row>
    <row r="42" spans="1:3" ht="28">
      <c r="A42" s="23" t="s">
        <v>480</v>
      </c>
      <c r="B42" s="23" t="s">
        <v>478</v>
      </c>
      <c r="C42" s="22" t="s">
        <v>482</v>
      </c>
    </row>
    <row r="43" spans="1:3" ht="28">
      <c r="A43" s="23" t="s">
        <v>480</v>
      </c>
      <c r="B43" s="23" t="s">
        <v>480</v>
      </c>
      <c r="C43" s="22" t="s">
        <v>483</v>
      </c>
    </row>
    <row r="45" spans="1:3" ht="30" customHeight="1">
      <c r="A45" s="58" t="s">
        <v>499</v>
      </c>
      <c r="B45" s="58"/>
      <c r="C45" s="58"/>
    </row>
    <row r="46" spans="1:3" ht="16">
      <c r="A46" s="56" t="s">
        <v>0</v>
      </c>
      <c r="B46" s="56" t="s">
        <v>484</v>
      </c>
      <c r="C46" s="56" t="s">
        <v>485</v>
      </c>
    </row>
    <row r="47" spans="1:3" ht="32">
      <c r="A47" s="57">
        <v>1</v>
      </c>
      <c r="B47" s="57" t="s">
        <v>196</v>
      </c>
      <c r="C47" s="57" t="s">
        <v>486</v>
      </c>
    </row>
    <row r="48" spans="1:3" ht="32">
      <c r="A48" s="57">
        <v>2</v>
      </c>
      <c r="B48" s="57" t="s">
        <v>487</v>
      </c>
      <c r="C48" s="57" t="s">
        <v>488</v>
      </c>
    </row>
    <row r="49" spans="1:3" ht="32">
      <c r="A49" s="57">
        <v>3</v>
      </c>
      <c r="B49" s="57" t="s">
        <v>204</v>
      </c>
      <c r="C49" s="57" t="s">
        <v>489</v>
      </c>
    </row>
    <row r="50" spans="1:3" ht="32">
      <c r="A50" s="57">
        <v>4</v>
      </c>
      <c r="B50" s="57" t="s">
        <v>200</v>
      </c>
      <c r="C50" s="57" t="s">
        <v>490</v>
      </c>
    </row>
    <row r="51" spans="1:3" ht="32">
      <c r="A51" s="57">
        <v>5</v>
      </c>
      <c r="B51" s="57" t="s">
        <v>212</v>
      </c>
      <c r="C51" s="57" t="s">
        <v>491</v>
      </c>
    </row>
    <row r="52" spans="1:3" ht="32">
      <c r="A52" s="57">
        <v>6</v>
      </c>
      <c r="B52" s="57" t="s">
        <v>492</v>
      </c>
      <c r="C52" s="57" t="s">
        <v>493</v>
      </c>
    </row>
    <row r="53" spans="1:3" ht="32">
      <c r="A53" s="57">
        <v>7</v>
      </c>
      <c r="B53" s="57" t="s">
        <v>219</v>
      </c>
      <c r="C53" s="57" t="s">
        <v>494</v>
      </c>
    </row>
    <row r="54" spans="1:3" ht="32">
      <c r="A54" s="57">
        <v>8</v>
      </c>
      <c r="B54" s="57" t="s">
        <v>495</v>
      </c>
      <c r="C54" s="57" t="s">
        <v>496</v>
      </c>
    </row>
    <row r="55" spans="1:3" ht="32">
      <c r="A55" s="57">
        <v>9</v>
      </c>
      <c r="B55" s="57" t="s">
        <v>497</v>
      </c>
      <c r="C55" s="57" t="s">
        <v>498</v>
      </c>
    </row>
  </sheetData>
  <mergeCells count="1">
    <mergeCell ref="A45:C45"/>
  </mergeCells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3"/>
  <sheetViews>
    <sheetView workbookViewId="0">
      <selection activeCell="K13" sqref="K13"/>
    </sheetView>
  </sheetViews>
  <sheetFormatPr baseColWidth="10" defaultColWidth="8.83203125" defaultRowHeight="14" x14ac:dyDescent="0"/>
  <cols>
    <col min="1" max="1" width="24.83203125" customWidth="1"/>
    <col min="2" max="2" width="15.33203125" customWidth="1"/>
    <col min="3" max="3" width="18.6640625" customWidth="1"/>
    <col min="4" max="4" width="37.33203125" customWidth="1"/>
  </cols>
  <sheetData>
    <row r="1" spans="1:4" ht="32">
      <c r="A1" s="31" t="s">
        <v>501</v>
      </c>
      <c r="B1" s="31" t="s">
        <v>270</v>
      </c>
      <c r="C1" s="31" t="s">
        <v>271</v>
      </c>
      <c r="D1" s="31" t="s">
        <v>272</v>
      </c>
    </row>
    <row r="2" spans="1:4" ht="32">
      <c r="A2" s="31" t="s">
        <v>273</v>
      </c>
      <c r="B2" s="32" t="s">
        <v>274</v>
      </c>
      <c r="C2" s="32" t="s">
        <v>275</v>
      </c>
      <c r="D2" s="32" t="s">
        <v>276</v>
      </c>
    </row>
    <row r="3" spans="1:4" ht="32">
      <c r="A3" s="33"/>
      <c r="B3" s="32" t="s">
        <v>277</v>
      </c>
      <c r="C3" s="32" t="s">
        <v>278</v>
      </c>
      <c r="D3" s="32" t="s">
        <v>279</v>
      </c>
    </row>
    <row r="4" spans="1:4" ht="32">
      <c r="A4" s="33"/>
      <c r="B4" s="32" t="s">
        <v>280</v>
      </c>
      <c r="C4" s="32" t="s">
        <v>281</v>
      </c>
      <c r="D4" s="32" t="s">
        <v>282</v>
      </c>
    </row>
    <row r="5" spans="1:4" ht="32">
      <c r="A5" s="33"/>
      <c r="B5" s="32" t="s">
        <v>283</v>
      </c>
      <c r="C5" s="32" t="s">
        <v>284</v>
      </c>
      <c r="D5" s="32" t="s">
        <v>285</v>
      </c>
    </row>
    <row r="6" spans="1:4" ht="32">
      <c r="A6" s="33"/>
      <c r="B6" s="32" t="s">
        <v>286</v>
      </c>
      <c r="C6" s="32" t="s">
        <v>287</v>
      </c>
      <c r="D6" s="32" t="s">
        <v>288</v>
      </c>
    </row>
    <row r="7" spans="1:4" ht="32">
      <c r="A7" s="33"/>
      <c r="B7" s="32" t="s">
        <v>289</v>
      </c>
      <c r="C7" s="32" t="s">
        <v>290</v>
      </c>
      <c r="D7" s="32" t="s">
        <v>291</v>
      </c>
    </row>
    <row r="8" spans="1:4" ht="32">
      <c r="A8" s="31" t="s">
        <v>292</v>
      </c>
      <c r="B8" s="32" t="s">
        <v>293</v>
      </c>
      <c r="C8" s="32" t="s">
        <v>294</v>
      </c>
      <c r="D8" s="32" t="s">
        <v>295</v>
      </c>
    </row>
    <row r="9" spans="1:4" ht="32">
      <c r="A9" s="33"/>
      <c r="B9" s="32" t="s">
        <v>296</v>
      </c>
      <c r="C9" s="32" t="s">
        <v>297</v>
      </c>
      <c r="D9" s="32" t="s">
        <v>298</v>
      </c>
    </row>
    <row r="10" spans="1:4" ht="32">
      <c r="A10" s="33"/>
      <c r="B10" s="32" t="s">
        <v>299</v>
      </c>
      <c r="C10" s="32" t="s">
        <v>300</v>
      </c>
      <c r="D10" s="32" t="s">
        <v>301</v>
      </c>
    </row>
    <row r="11" spans="1:4" ht="32">
      <c r="A11" s="33"/>
      <c r="B11" s="32" t="s">
        <v>302</v>
      </c>
      <c r="C11" s="32" t="s">
        <v>303</v>
      </c>
      <c r="D11" s="32" t="s">
        <v>304</v>
      </c>
    </row>
    <row r="12" spans="1:4" ht="32">
      <c r="A12" s="31" t="s">
        <v>305</v>
      </c>
      <c r="B12" s="32" t="s">
        <v>306</v>
      </c>
      <c r="C12" s="32" t="s">
        <v>307</v>
      </c>
      <c r="D12" s="32" t="s">
        <v>308</v>
      </c>
    </row>
    <row r="13" spans="1:4" ht="32">
      <c r="A13" s="33"/>
      <c r="B13" s="32" t="s">
        <v>309</v>
      </c>
      <c r="C13" s="32" t="s">
        <v>310</v>
      </c>
      <c r="D13" s="32" t="s">
        <v>311</v>
      </c>
    </row>
    <row r="14" spans="1:4" ht="32">
      <c r="A14" s="33"/>
      <c r="B14" s="32" t="s">
        <v>312</v>
      </c>
      <c r="C14" s="32" t="s">
        <v>313</v>
      </c>
      <c r="D14" s="32" t="s">
        <v>314</v>
      </c>
    </row>
    <row r="15" spans="1:4" ht="32">
      <c r="A15" s="33"/>
      <c r="B15" s="32" t="s">
        <v>315</v>
      </c>
      <c r="C15" s="32" t="s">
        <v>316</v>
      </c>
      <c r="D15" s="32" t="s">
        <v>317</v>
      </c>
    </row>
    <row r="16" spans="1:4" ht="32">
      <c r="A16" s="33"/>
      <c r="B16" s="32" t="s">
        <v>318</v>
      </c>
      <c r="C16" s="32" t="s">
        <v>319</v>
      </c>
      <c r="D16" s="32" t="s">
        <v>320</v>
      </c>
    </row>
    <row r="17" spans="1:4" ht="32">
      <c r="A17" s="33"/>
      <c r="B17" s="32" t="s">
        <v>321</v>
      </c>
      <c r="C17" s="32" t="s">
        <v>322</v>
      </c>
      <c r="D17" s="32" t="s">
        <v>323</v>
      </c>
    </row>
    <row r="18" spans="1:4" ht="48">
      <c r="A18" s="31" t="s">
        <v>324</v>
      </c>
      <c r="B18" s="32" t="s">
        <v>325</v>
      </c>
      <c r="C18" s="32" t="s">
        <v>326</v>
      </c>
      <c r="D18" s="32" t="s">
        <v>327</v>
      </c>
    </row>
    <row r="19" spans="1:4" ht="32">
      <c r="A19" s="33"/>
      <c r="B19" s="32" t="s">
        <v>328</v>
      </c>
      <c r="C19" s="32" t="s">
        <v>329</v>
      </c>
      <c r="D19" s="32" t="s">
        <v>330</v>
      </c>
    </row>
    <row r="20" spans="1:4" ht="32">
      <c r="A20" s="33"/>
      <c r="B20" s="32" t="s">
        <v>331</v>
      </c>
      <c r="C20" s="32" t="s">
        <v>297</v>
      </c>
      <c r="D20" s="32" t="s">
        <v>332</v>
      </c>
    </row>
    <row r="21" spans="1:4" ht="32">
      <c r="A21" s="33"/>
      <c r="B21" s="32" t="s">
        <v>333</v>
      </c>
      <c r="C21" s="32" t="s">
        <v>334</v>
      </c>
      <c r="D21" s="32" t="s">
        <v>335</v>
      </c>
    </row>
    <row r="22" spans="1:4" ht="32">
      <c r="A22" s="33"/>
      <c r="B22" s="32" t="s">
        <v>336</v>
      </c>
      <c r="C22" s="32" t="s">
        <v>337</v>
      </c>
      <c r="D22" s="32" t="s">
        <v>338</v>
      </c>
    </row>
    <row r="23" spans="1:4" ht="32">
      <c r="A23" s="33"/>
      <c r="B23" s="32" t="s">
        <v>339</v>
      </c>
      <c r="C23" s="32" t="s">
        <v>340</v>
      </c>
      <c r="D23" s="32" t="s">
        <v>341</v>
      </c>
    </row>
    <row r="24" spans="1:4" ht="32">
      <c r="A24" s="33"/>
      <c r="B24" s="32" t="s">
        <v>342</v>
      </c>
      <c r="C24" s="32" t="s">
        <v>343</v>
      </c>
      <c r="D24" s="32" t="s">
        <v>344</v>
      </c>
    </row>
    <row r="25" spans="1:4" ht="48">
      <c r="A25" s="33"/>
      <c r="B25" s="32" t="s">
        <v>345</v>
      </c>
      <c r="C25" s="32" t="s">
        <v>346</v>
      </c>
      <c r="D25" s="32" t="s">
        <v>347</v>
      </c>
    </row>
    <row r="26" spans="1:4" ht="48">
      <c r="A26" s="31" t="s">
        <v>348</v>
      </c>
      <c r="B26" s="32" t="s">
        <v>349</v>
      </c>
      <c r="C26" s="32" t="s">
        <v>350</v>
      </c>
      <c r="D26" s="32" t="s">
        <v>351</v>
      </c>
    </row>
    <row r="27" spans="1:4" ht="32">
      <c r="A27" s="33"/>
      <c r="B27" s="32" t="s">
        <v>352</v>
      </c>
      <c r="C27" s="32" t="s">
        <v>353</v>
      </c>
      <c r="D27" s="32" t="s">
        <v>354</v>
      </c>
    </row>
    <row r="28" spans="1:4" ht="32">
      <c r="A28" s="33"/>
      <c r="B28" s="32" t="s">
        <v>355</v>
      </c>
      <c r="C28" s="32" t="s">
        <v>356</v>
      </c>
      <c r="D28" s="32" t="s">
        <v>357</v>
      </c>
    </row>
    <row r="29" spans="1:4" ht="32">
      <c r="A29" s="33"/>
      <c r="B29" s="32" t="s">
        <v>358</v>
      </c>
      <c r="C29" s="32" t="s">
        <v>359</v>
      </c>
      <c r="D29" s="32" t="s">
        <v>360</v>
      </c>
    </row>
    <row r="30" spans="1:4" ht="32">
      <c r="A30" s="33"/>
      <c r="B30" s="32" t="s">
        <v>361</v>
      </c>
      <c r="C30" s="32" t="s">
        <v>362</v>
      </c>
      <c r="D30" s="32" t="s">
        <v>363</v>
      </c>
    </row>
    <row r="31" spans="1:4" ht="32">
      <c r="A31" s="33"/>
      <c r="B31" s="32" t="s">
        <v>364</v>
      </c>
      <c r="C31" s="32" t="s">
        <v>365</v>
      </c>
      <c r="D31" s="32" t="s">
        <v>366</v>
      </c>
    </row>
    <row r="32" spans="1:4" ht="32">
      <c r="A32" s="33"/>
      <c r="B32" s="32" t="s">
        <v>367</v>
      </c>
      <c r="C32" s="32" t="s">
        <v>368</v>
      </c>
      <c r="D32" s="32" t="s">
        <v>369</v>
      </c>
    </row>
    <row r="33" spans="1:4" ht="32">
      <c r="A33" s="31" t="s">
        <v>370</v>
      </c>
      <c r="B33" s="32" t="s">
        <v>371</v>
      </c>
      <c r="C33" s="32" t="s">
        <v>372</v>
      </c>
      <c r="D33" s="32" t="s">
        <v>373</v>
      </c>
    </row>
    <row r="34" spans="1:4" ht="32">
      <c r="A34" s="33"/>
      <c r="B34" s="32" t="s">
        <v>374</v>
      </c>
      <c r="C34" s="32" t="s">
        <v>375</v>
      </c>
      <c r="D34" s="32" t="s">
        <v>376</v>
      </c>
    </row>
    <row r="35" spans="1:4" ht="32">
      <c r="A35" s="33"/>
      <c r="B35" s="32" t="s">
        <v>377</v>
      </c>
      <c r="C35" s="32" t="s">
        <v>378</v>
      </c>
      <c r="D35" s="32" t="s">
        <v>379</v>
      </c>
    </row>
    <row r="36" spans="1:4" ht="48">
      <c r="A36" s="33"/>
      <c r="B36" s="32" t="s">
        <v>380</v>
      </c>
      <c r="C36" s="32" t="s">
        <v>381</v>
      </c>
      <c r="D36" s="32" t="s">
        <v>382</v>
      </c>
    </row>
    <row r="37" spans="1:4" ht="32">
      <c r="A37" s="33"/>
      <c r="B37" s="32" t="s">
        <v>383</v>
      </c>
      <c r="C37" s="32" t="s">
        <v>375</v>
      </c>
      <c r="D37" s="32" t="s">
        <v>384</v>
      </c>
    </row>
    <row r="38" spans="1:4" ht="32">
      <c r="A38" s="33"/>
      <c r="B38" s="32" t="s">
        <v>385</v>
      </c>
      <c r="C38" s="32" t="s">
        <v>386</v>
      </c>
      <c r="D38" s="32" t="s">
        <v>387</v>
      </c>
    </row>
    <row r="39" spans="1:4" ht="32">
      <c r="A39" s="31" t="s">
        <v>388</v>
      </c>
      <c r="B39" s="32" t="s">
        <v>389</v>
      </c>
      <c r="C39" s="32" t="s">
        <v>390</v>
      </c>
      <c r="D39" s="32" t="s">
        <v>391</v>
      </c>
    </row>
    <row r="40" spans="1:4" ht="32">
      <c r="A40" s="33"/>
      <c r="B40" s="32" t="s">
        <v>392</v>
      </c>
      <c r="C40" s="32" t="s">
        <v>393</v>
      </c>
      <c r="D40" s="32" t="s">
        <v>394</v>
      </c>
    </row>
    <row r="41" spans="1:4" ht="32">
      <c r="A41" s="33"/>
      <c r="B41" s="32" t="s">
        <v>395</v>
      </c>
      <c r="C41" s="32" t="s">
        <v>396</v>
      </c>
      <c r="D41" s="32" t="s">
        <v>397</v>
      </c>
    </row>
    <row r="42" spans="1:4" ht="48">
      <c r="A42" s="33"/>
      <c r="B42" s="32" t="s">
        <v>398</v>
      </c>
      <c r="C42" s="32" t="s">
        <v>399</v>
      </c>
      <c r="D42" s="32" t="s">
        <v>400</v>
      </c>
    </row>
    <row r="43" spans="1:4" ht="48">
      <c r="A43" s="33"/>
      <c r="B43" s="32" t="s">
        <v>401</v>
      </c>
      <c r="C43" s="32" t="s">
        <v>402</v>
      </c>
      <c r="D43" s="32" t="s">
        <v>403</v>
      </c>
    </row>
  </sheetData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02_Du_lieu_truong_thuong</vt:lpstr>
      <vt:lpstr>04_Du_lieu_truong_chuyen</vt:lpstr>
      <vt:lpstr>07_Ikigai_mon_hoc</vt:lpstr>
      <vt:lpstr>08_nganh_nghe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Macbook Macbook</cp:lastModifiedBy>
  <dcterms:created xsi:type="dcterms:W3CDTF">2026-07-20T06:14:05Z</dcterms:created>
  <dcterms:modified xsi:type="dcterms:W3CDTF">2026-07-26T09:15:20Z</dcterms:modified>
</cp:coreProperties>
</file>